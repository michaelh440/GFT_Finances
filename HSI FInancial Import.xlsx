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s\GFT\GFT_Finances\"/>
    </mc:Choice>
  </mc:AlternateContent>
  <xr:revisionPtr revIDLastSave="0" documentId="8_{558C38DE-021A-4051-B1D3-ADAA2D5A3EBB}" xr6:coauthVersionLast="47" xr6:coauthVersionMax="47" xr10:uidLastSave="{00000000-0000-0000-0000-000000000000}"/>
  <bookViews>
    <workbookView xWindow="14400" yWindow="-16320" windowWidth="29040" windowHeight="15720" activeTab="3" xr2:uid="{00000000-000D-0000-FFFF-FFFF00000000}"/>
  </bookViews>
  <sheets>
    <sheet name="Classes Charts" sheetId="1" r:id="rId1"/>
    <sheet name="Classes Chart Data" sheetId="2" r:id="rId2"/>
    <sheet name="Sheet2" sheetId="3" r:id="rId3"/>
    <sheet name="Classes Data" sheetId="4" r:id="rId4"/>
    <sheet name="Raw 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7lr1hHpKTmLY/wazCAjGfF7wPx2/SM4R62sXrX2EpAc="/>
    </ext>
  </extLst>
</workbook>
</file>

<file path=xl/calcChain.xml><?xml version="1.0" encoding="utf-8"?>
<calcChain xmlns="http://schemas.openxmlformats.org/spreadsheetml/2006/main">
  <c r="C37" i="5" l="1"/>
  <c r="B37" i="5"/>
  <c r="C36" i="5"/>
  <c r="B36" i="5"/>
  <c r="W35" i="5"/>
  <c r="C35" i="5"/>
  <c r="B35" i="5"/>
  <c r="W34" i="5"/>
  <c r="C34" i="5"/>
  <c r="B34" i="5"/>
  <c r="W33" i="5"/>
  <c r="C33" i="5"/>
  <c r="B33" i="5"/>
  <c r="W32" i="5"/>
  <c r="C32" i="5"/>
  <c r="B32" i="5"/>
  <c r="W31" i="5"/>
  <c r="C31" i="5"/>
  <c r="B31" i="5"/>
  <c r="W30" i="5"/>
  <c r="C30" i="5"/>
  <c r="B30" i="5"/>
  <c r="W29" i="5"/>
  <c r="C29" i="5"/>
  <c r="B29" i="5"/>
  <c r="W28" i="5"/>
  <c r="C28" i="5"/>
  <c r="B28" i="5"/>
  <c r="W27" i="5"/>
  <c r="C27" i="5"/>
  <c r="B27" i="5"/>
  <c r="W26" i="5"/>
  <c r="C26" i="5"/>
  <c r="B26" i="5"/>
  <c r="W25" i="5"/>
  <c r="C25" i="5"/>
  <c r="B25" i="5"/>
  <c r="W24" i="5"/>
  <c r="C24" i="5"/>
  <c r="B24" i="5"/>
  <c r="W23" i="5"/>
  <c r="C23" i="5"/>
  <c r="B23" i="5"/>
  <c r="W22" i="5"/>
  <c r="C22" i="5"/>
  <c r="B22" i="5"/>
  <c r="W21" i="5"/>
  <c r="C21" i="5"/>
  <c r="B21" i="5"/>
  <c r="W20" i="5"/>
  <c r="C20" i="5"/>
  <c r="B20" i="5"/>
  <c r="W19" i="5"/>
  <c r="C19" i="5"/>
  <c r="B19" i="5"/>
  <c r="W18" i="5"/>
  <c r="C18" i="5"/>
  <c r="B18" i="5"/>
  <c r="W17" i="5"/>
  <c r="C17" i="5"/>
  <c r="B17" i="5"/>
  <c r="W16" i="5"/>
  <c r="C16" i="5"/>
  <c r="B16" i="5"/>
  <c r="W15" i="5"/>
  <c r="C15" i="5"/>
  <c r="B15" i="5"/>
  <c r="W14" i="5"/>
  <c r="C14" i="5"/>
  <c r="B14" i="5"/>
  <c r="W13" i="5"/>
  <c r="C13" i="5"/>
  <c r="B13" i="5"/>
  <c r="W12" i="5"/>
  <c r="C12" i="5"/>
  <c r="B12" i="5"/>
  <c r="W11" i="5"/>
  <c r="C11" i="5"/>
  <c r="B11" i="5"/>
  <c r="W10" i="5"/>
  <c r="C10" i="5"/>
  <c r="B10" i="5"/>
  <c r="W9" i="5"/>
  <c r="C9" i="5"/>
  <c r="B9" i="5"/>
  <c r="W8" i="5"/>
  <c r="C8" i="5"/>
  <c r="B8" i="5"/>
  <c r="W7" i="5"/>
  <c r="C7" i="5"/>
  <c r="B7" i="5"/>
  <c r="W6" i="5"/>
  <c r="C6" i="5"/>
  <c r="B6" i="5"/>
  <c r="W5" i="5"/>
  <c r="C5" i="5"/>
  <c r="B5" i="5"/>
  <c r="W4" i="5"/>
  <c r="C4" i="5"/>
  <c r="B4" i="5"/>
  <c r="W3" i="5"/>
  <c r="C3" i="5"/>
  <c r="B3" i="5"/>
  <c r="W2" i="5"/>
  <c r="C2" i="5"/>
  <c r="B2" i="5"/>
  <c r="V50" i="4"/>
  <c r="K50" i="4"/>
  <c r="V49" i="4"/>
  <c r="K49" i="4"/>
  <c r="V48" i="4"/>
  <c r="K48" i="4"/>
  <c r="V47" i="4"/>
  <c r="K47" i="4"/>
  <c r="V46" i="4"/>
  <c r="K46" i="4"/>
  <c r="V45" i="4"/>
  <c r="K45" i="4"/>
  <c r="V44" i="4"/>
  <c r="K44" i="4"/>
  <c r="K43" i="4"/>
  <c r="V43" i="4" s="1"/>
  <c r="V42" i="4"/>
  <c r="K42" i="4"/>
  <c r="V41" i="4"/>
  <c r="K41" i="4"/>
  <c r="V40" i="4"/>
  <c r="K40" i="4"/>
  <c r="V39" i="4"/>
  <c r="V53" i="4" s="1"/>
  <c r="AC38" i="4"/>
  <c r="AB38" i="4"/>
  <c r="AA38" i="4"/>
  <c r="Z38" i="4"/>
  <c r="Y38" i="4"/>
  <c r="V38" i="4"/>
  <c r="C38" i="4"/>
  <c r="B38" i="4"/>
  <c r="A38" i="4"/>
  <c r="AB37" i="4"/>
  <c r="Y37" i="4"/>
  <c r="V37" i="4"/>
  <c r="AD38" i="4" s="1"/>
  <c r="K37" i="4"/>
  <c r="C37" i="4"/>
  <c r="B37" i="4"/>
  <c r="A37" i="4"/>
  <c r="AA36" i="4"/>
  <c r="O36" i="4"/>
  <c r="AC36" i="4" s="1"/>
  <c r="K36" i="4"/>
  <c r="I36" i="4"/>
  <c r="AA37" i="4" s="1"/>
  <c r="G36" i="4"/>
  <c r="Z37" i="4" s="1"/>
  <c r="E36" i="4"/>
  <c r="Y36" i="4" s="1"/>
  <c r="C36" i="4"/>
  <c r="B36" i="4"/>
  <c r="A36" i="4"/>
  <c r="Z35" i="4"/>
  <c r="O35" i="4"/>
  <c r="K35" i="4"/>
  <c r="AB35" i="4" s="1"/>
  <c r="I35" i="4"/>
  <c r="G35" i="4"/>
  <c r="E35" i="4"/>
  <c r="Y35" i="4" s="1"/>
  <c r="C35" i="4"/>
  <c r="B35" i="4"/>
  <c r="A35" i="4"/>
  <c r="AC34" i="4"/>
  <c r="Y34" i="4"/>
  <c r="O34" i="4"/>
  <c r="AC35" i="4" s="1"/>
  <c r="K34" i="4"/>
  <c r="I34" i="4"/>
  <c r="AA34" i="4" s="1"/>
  <c r="G34" i="4"/>
  <c r="E34" i="4"/>
  <c r="C34" i="4"/>
  <c r="B34" i="4"/>
  <c r="A34" i="4"/>
  <c r="AC33" i="4"/>
  <c r="AB33" i="4"/>
  <c r="O33" i="4"/>
  <c r="K33" i="4"/>
  <c r="AB34" i="4" s="1"/>
  <c r="I33" i="4"/>
  <c r="G33" i="4"/>
  <c r="Z33" i="4" s="1"/>
  <c r="E33" i="4"/>
  <c r="C33" i="4"/>
  <c r="B33" i="4"/>
  <c r="A33" i="4"/>
  <c r="AC32" i="4"/>
  <c r="AB32" i="4"/>
  <c r="AA32" i="4"/>
  <c r="O32" i="4"/>
  <c r="K32" i="4"/>
  <c r="I32" i="4"/>
  <c r="AA33" i="4" s="1"/>
  <c r="G32" i="4"/>
  <c r="E32" i="4"/>
  <c r="Y32" i="4" s="1"/>
  <c r="C32" i="4"/>
  <c r="B32" i="4"/>
  <c r="A32" i="4"/>
  <c r="AB31" i="4"/>
  <c r="AA31" i="4"/>
  <c r="Z31" i="4"/>
  <c r="O31" i="4"/>
  <c r="AC31" i="4" s="1"/>
  <c r="K31" i="4"/>
  <c r="I31" i="4"/>
  <c r="G31" i="4"/>
  <c r="Z32" i="4" s="1"/>
  <c r="E31" i="4"/>
  <c r="C31" i="4"/>
  <c r="B31" i="4"/>
  <c r="A31" i="4"/>
  <c r="AA30" i="4"/>
  <c r="Z30" i="4"/>
  <c r="Y30" i="4"/>
  <c r="O30" i="4"/>
  <c r="K30" i="4"/>
  <c r="AB30" i="4" s="1"/>
  <c r="I30" i="4"/>
  <c r="G30" i="4"/>
  <c r="E30" i="4"/>
  <c r="Y31" i="4" s="1"/>
  <c r="C30" i="4"/>
  <c r="B30" i="4"/>
  <c r="A30" i="4"/>
  <c r="Z29" i="4"/>
  <c r="Y29" i="4"/>
  <c r="V29" i="4"/>
  <c r="AD29" i="4" s="1"/>
  <c r="O29" i="4"/>
  <c r="AC30" i="4" s="1"/>
  <c r="K29" i="4"/>
  <c r="I29" i="4"/>
  <c r="AA29" i="4" s="1"/>
  <c r="G29" i="4"/>
  <c r="E29" i="4"/>
  <c r="C29" i="4"/>
  <c r="B29" i="4"/>
  <c r="A29" i="4"/>
  <c r="Y28" i="4"/>
  <c r="V28" i="4"/>
  <c r="O28" i="4"/>
  <c r="AC28" i="4" s="1"/>
  <c r="K28" i="4"/>
  <c r="AB29" i="4" s="1"/>
  <c r="I28" i="4"/>
  <c r="G28" i="4"/>
  <c r="Z28" i="4" s="1"/>
  <c r="E28" i="4"/>
  <c r="C28" i="4"/>
  <c r="B28" i="4"/>
  <c r="A28" i="4"/>
  <c r="O27" i="4"/>
  <c r="AC27" i="4" s="1"/>
  <c r="K27" i="4"/>
  <c r="AB27" i="4" s="1"/>
  <c r="I27" i="4"/>
  <c r="AA28" i="4" s="1"/>
  <c r="G27" i="4"/>
  <c r="E27" i="4"/>
  <c r="Y27" i="4" s="1"/>
  <c r="C27" i="4"/>
  <c r="B27" i="4"/>
  <c r="A27" i="4"/>
  <c r="O26" i="4"/>
  <c r="AC26" i="4" s="1"/>
  <c r="K26" i="4"/>
  <c r="N86" i="2" s="1"/>
  <c r="N14" i="2" s="1"/>
  <c r="I26" i="4"/>
  <c r="AA26" i="4" s="1"/>
  <c r="G26" i="4"/>
  <c r="Z27" i="4" s="1"/>
  <c r="E26" i="4"/>
  <c r="V26" i="4" s="1"/>
  <c r="C26" i="4"/>
  <c r="B26" i="4"/>
  <c r="A26" i="4"/>
  <c r="O25" i="4"/>
  <c r="AC25" i="4" s="1"/>
  <c r="K25" i="4"/>
  <c r="AB25" i="4" s="1"/>
  <c r="I25" i="4"/>
  <c r="N67" i="2" s="1"/>
  <c r="G25" i="4"/>
  <c r="Z25" i="4" s="1"/>
  <c r="E25" i="4"/>
  <c r="Y26" i="4" s="1"/>
  <c r="C25" i="4"/>
  <c r="B25" i="4"/>
  <c r="A25" i="4"/>
  <c r="O24" i="4"/>
  <c r="K24" i="4"/>
  <c r="AB24" i="4" s="1"/>
  <c r="I24" i="4"/>
  <c r="AA24" i="4" s="1"/>
  <c r="G24" i="4"/>
  <c r="N48" i="2" s="1"/>
  <c r="N12" i="2" s="1"/>
  <c r="E24" i="4"/>
  <c r="Y24" i="4" s="1"/>
  <c r="C24" i="4"/>
  <c r="B24" i="4"/>
  <c r="A24" i="4"/>
  <c r="O23" i="4"/>
  <c r="AC23" i="4" s="1"/>
  <c r="K23" i="4"/>
  <c r="I23" i="4"/>
  <c r="AA23" i="4" s="1"/>
  <c r="G23" i="4"/>
  <c r="Z23" i="4" s="1"/>
  <c r="E23" i="4"/>
  <c r="V23" i="4" s="1"/>
  <c r="C23" i="4"/>
  <c r="B23" i="4"/>
  <c r="A23" i="4"/>
  <c r="AC22" i="4"/>
  <c r="O22" i="4"/>
  <c r="K22" i="4"/>
  <c r="AB22" i="4" s="1"/>
  <c r="I22" i="4"/>
  <c r="G22" i="4"/>
  <c r="Z22" i="4" s="1"/>
  <c r="E22" i="4"/>
  <c r="Y22" i="4" s="1"/>
  <c r="C22" i="4"/>
  <c r="B22" i="4"/>
  <c r="A22" i="4"/>
  <c r="AB21" i="4"/>
  <c r="O21" i="4"/>
  <c r="K21" i="4"/>
  <c r="I21" i="4"/>
  <c r="AA21" i="4" s="1"/>
  <c r="G21" i="4"/>
  <c r="E21" i="4"/>
  <c r="Y21" i="4" s="1"/>
  <c r="C21" i="4"/>
  <c r="B21" i="4"/>
  <c r="A21" i="4"/>
  <c r="AA20" i="4"/>
  <c r="O20" i="4"/>
  <c r="AC20" i="4" s="1"/>
  <c r="K20" i="4"/>
  <c r="I20" i="4"/>
  <c r="G20" i="4"/>
  <c r="Z20" i="4" s="1"/>
  <c r="E20" i="4"/>
  <c r="V20" i="4" s="1"/>
  <c r="C20" i="4"/>
  <c r="B20" i="4"/>
  <c r="A20" i="4"/>
  <c r="Z19" i="4"/>
  <c r="O19" i="4"/>
  <c r="K19" i="4"/>
  <c r="AB19" i="4" s="1"/>
  <c r="I19" i="4"/>
  <c r="G19" i="4"/>
  <c r="E19" i="4"/>
  <c r="Y19" i="4" s="1"/>
  <c r="C19" i="4"/>
  <c r="B19" i="4"/>
  <c r="A19" i="4"/>
  <c r="AC18" i="4"/>
  <c r="Y18" i="4"/>
  <c r="O18" i="4"/>
  <c r="AC19" i="4" s="1"/>
  <c r="K18" i="4"/>
  <c r="I18" i="4"/>
  <c r="AA18" i="4" s="1"/>
  <c r="G18" i="4"/>
  <c r="E18" i="4"/>
  <c r="C18" i="4"/>
  <c r="B18" i="4"/>
  <c r="A18" i="4"/>
  <c r="AC17" i="4"/>
  <c r="AB17" i="4"/>
  <c r="O17" i="4"/>
  <c r="K17" i="4"/>
  <c r="AB18" i="4" s="1"/>
  <c r="I17" i="4"/>
  <c r="G17" i="4"/>
  <c r="Z17" i="4" s="1"/>
  <c r="E17" i="4"/>
  <c r="C17" i="4"/>
  <c r="B17" i="4"/>
  <c r="A17" i="4"/>
  <c r="AC16" i="4"/>
  <c r="AB16" i="4"/>
  <c r="AA16" i="4"/>
  <c r="O16" i="4"/>
  <c r="K16" i="4"/>
  <c r="I16" i="4"/>
  <c r="AA17" i="4" s="1"/>
  <c r="G16" i="4"/>
  <c r="E16" i="4"/>
  <c r="Y16" i="4" s="1"/>
  <c r="C16" i="4"/>
  <c r="B16" i="4"/>
  <c r="A16" i="4"/>
  <c r="AB15" i="4"/>
  <c r="AA15" i="4"/>
  <c r="Z15" i="4"/>
  <c r="O15" i="4"/>
  <c r="K15" i="4"/>
  <c r="I15" i="4"/>
  <c r="G15" i="4"/>
  <c r="Z16" i="4" s="1"/>
  <c r="E15" i="4"/>
  <c r="C15" i="4"/>
  <c r="B15" i="4"/>
  <c r="A15" i="4"/>
  <c r="AA14" i="4"/>
  <c r="Z14" i="4"/>
  <c r="Y14" i="4"/>
  <c r="O14" i="4"/>
  <c r="AC14" i="4" s="1"/>
  <c r="K14" i="4"/>
  <c r="I14" i="4"/>
  <c r="G14" i="4"/>
  <c r="E14" i="4"/>
  <c r="Y15" i="4" s="1"/>
  <c r="C14" i="4"/>
  <c r="B14" i="4"/>
  <c r="A14" i="4"/>
  <c r="Z13" i="4"/>
  <c r="Y13" i="4"/>
  <c r="V13" i="4"/>
  <c r="AD13" i="4" s="1"/>
  <c r="O13" i="4"/>
  <c r="K13" i="4"/>
  <c r="AB13" i="4" s="1"/>
  <c r="I13" i="4"/>
  <c r="G13" i="4"/>
  <c r="E13" i="4"/>
  <c r="C13" i="4"/>
  <c r="B13" i="4"/>
  <c r="A13" i="4"/>
  <c r="Y12" i="4"/>
  <c r="V12" i="4"/>
  <c r="O12" i="4"/>
  <c r="AC12" i="4" s="1"/>
  <c r="K12" i="4"/>
  <c r="I12" i="4"/>
  <c r="AA12" i="4" s="1"/>
  <c r="G12" i="4"/>
  <c r="E12" i="4"/>
  <c r="C12" i="4"/>
  <c r="B12" i="4"/>
  <c r="A12" i="4"/>
  <c r="O11" i="4"/>
  <c r="AC11" i="4" s="1"/>
  <c r="K11" i="4"/>
  <c r="AB11" i="4" s="1"/>
  <c r="I11" i="4"/>
  <c r="G11" i="4"/>
  <c r="Z11" i="4" s="1"/>
  <c r="E11" i="4"/>
  <c r="C11" i="4"/>
  <c r="B11" i="4"/>
  <c r="A11" i="4"/>
  <c r="O10" i="4"/>
  <c r="AC10" i="4" s="1"/>
  <c r="K10" i="4"/>
  <c r="AB10" i="4" s="1"/>
  <c r="I10" i="4"/>
  <c r="AA10" i="4" s="1"/>
  <c r="G10" i="4"/>
  <c r="E10" i="4"/>
  <c r="Y10" i="4" s="1"/>
  <c r="C10" i="4"/>
  <c r="B10" i="4"/>
  <c r="A10" i="4"/>
  <c r="O9" i="4"/>
  <c r="AC9" i="4" s="1"/>
  <c r="K9" i="4"/>
  <c r="AB9" i="4" s="1"/>
  <c r="I9" i="4"/>
  <c r="M63" i="2" s="1"/>
  <c r="M9" i="2" s="1"/>
  <c r="G9" i="4"/>
  <c r="Z9" i="4" s="1"/>
  <c r="E9" i="4"/>
  <c r="V9" i="4" s="1"/>
  <c r="C9" i="4"/>
  <c r="B9" i="4"/>
  <c r="A9" i="4"/>
  <c r="O8" i="4"/>
  <c r="K8" i="4"/>
  <c r="AB8" i="4" s="1"/>
  <c r="I8" i="4"/>
  <c r="AA8" i="4" s="1"/>
  <c r="G8" i="4"/>
  <c r="M44" i="2" s="1"/>
  <c r="M8" i="2" s="1"/>
  <c r="E8" i="4"/>
  <c r="Y8" i="4" s="1"/>
  <c r="C8" i="4"/>
  <c r="B8" i="4"/>
  <c r="A8" i="4"/>
  <c r="O7" i="4"/>
  <c r="AC7" i="4" s="1"/>
  <c r="K7" i="4"/>
  <c r="I7" i="4"/>
  <c r="AA7" i="4" s="1"/>
  <c r="G7" i="4"/>
  <c r="Z7" i="4" s="1"/>
  <c r="E7" i="4"/>
  <c r="V7" i="4" s="1"/>
  <c r="C7" i="4"/>
  <c r="B7" i="4"/>
  <c r="A7" i="4"/>
  <c r="AC6" i="4"/>
  <c r="O6" i="4"/>
  <c r="K6" i="4"/>
  <c r="AB6" i="4" s="1"/>
  <c r="I6" i="4"/>
  <c r="G6" i="4"/>
  <c r="Z6" i="4" s="1"/>
  <c r="E6" i="4"/>
  <c r="Y6" i="4" s="1"/>
  <c r="C6" i="4"/>
  <c r="B6" i="4"/>
  <c r="A6" i="4"/>
  <c r="AB5" i="4"/>
  <c r="O5" i="4"/>
  <c r="K5" i="4"/>
  <c r="I5" i="4"/>
  <c r="AA5" i="4" s="1"/>
  <c r="G5" i="4"/>
  <c r="E5" i="4"/>
  <c r="Y5" i="4" s="1"/>
  <c r="C5" i="4"/>
  <c r="B5" i="4"/>
  <c r="A5" i="4"/>
  <c r="AA4" i="4"/>
  <c r="Y4" i="4"/>
  <c r="O4" i="4"/>
  <c r="AC4" i="4" s="1"/>
  <c r="K4" i="4"/>
  <c r="I4" i="4"/>
  <c r="G4" i="4"/>
  <c r="Z4" i="4" s="1"/>
  <c r="E4" i="4"/>
  <c r="V4" i="4" s="1"/>
  <c r="AD4" i="4" s="1"/>
  <c r="C4" i="4"/>
  <c r="B4" i="4"/>
  <c r="A4" i="4"/>
  <c r="V3" i="4"/>
  <c r="B3" i="3" s="1"/>
  <c r="O3" i="4"/>
  <c r="K3" i="4"/>
  <c r="AB4" i="4" s="1"/>
  <c r="I3" i="4"/>
  <c r="G3" i="4"/>
  <c r="E3" i="4"/>
  <c r="C3" i="4"/>
  <c r="B3" i="4"/>
  <c r="A3" i="4"/>
  <c r="C2" i="4"/>
  <c r="B2" i="4"/>
  <c r="A2" i="4"/>
  <c r="N1" i="4"/>
  <c r="J1" i="4"/>
  <c r="H1" i="4"/>
  <c r="F1" i="4"/>
  <c r="E3" i="3"/>
  <c r="E104" i="2"/>
  <c r="D104" i="2"/>
  <c r="C104" i="2"/>
  <c r="B104" i="2"/>
  <c r="E103" i="2"/>
  <c r="D103" i="2"/>
  <c r="C103" i="2"/>
  <c r="B103" i="2"/>
  <c r="E102" i="2"/>
  <c r="D102" i="2"/>
  <c r="C102" i="2"/>
  <c r="B102" i="2"/>
  <c r="E101" i="2"/>
  <c r="D101" i="2"/>
  <c r="C101" i="2"/>
  <c r="B101" i="2"/>
  <c r="E100" i="2"/>
  <c r="D100" i="2"/>
  <c r="C100" i="2"/>
  <c r="B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P86" i="2"/>
  <c r="O86" i="2"/>
  <c r="M86" i="2"/>
  <c r="E86" i="2"/>
  <c r="D86" i="2"/>
  <c r="C86" i="2"/>
  <c r="B86" i="2"/>
  <c r="P85" i="2"/>
  <c r="O85" i="2"/>
  <c r="O13" i="2" s="1"/>
  <c r="N85" i="2"/>
  <c r="M85" i="2"/>
  <c r="E85" i="2"/>
  <c r="D85" i="2"/>
  <c r="C85" i="2"/>
  <c r="B85" i="2"/>
  <c r="P84" i="2"/>
  <c r="O84" i="2"/>
  <c r="N84" i="2"/>
  <c r="M84" i="2"/>
  <c r="E84" i="2"/>
  <c r="D84" i="2"/>
  <c r="C84" i="2"/>
  <c r="B84" i="2"/>
  <c r="P83" i="2"/>
  <c r="O83" i="2"/>
  <c r="O11" i="2" s="1"/>
  <c r="N83" i="2"/>
  <c r="M83" i="2"/>
  <c r="E83" i="2"/>
  <c r="D83" i="2"/>
  <c r="C83" i="2"/>
  <c r="B83" i="2"/>
  <c r="P82" i="2"/>
  <c r="O82" i="2"/>
  <c r="N82" i="2"/>
  <c r="E82" i="2"/>
  <c r="D82" i="2"/>
  <c r="C82" i="2"/>
  <c r="B82" i="2"/>
  <c r="P81" i="2"/>
  <c r="O81" i="2"/>
  <c r="O9" i="2" s="1"/>
  <c r="AN5" i="2" s="1"/>
  <c r="N81" i="2"/>
  <c r="M81" i="2"/>
  <c r="E81" i="2"/>
  <c r="D81" i="2"/>
  <c r="C81" i="2"/>
  <c r="B81" i="2"/>
  <c r="P80" i="2"/>
  <c r="O80" i="2"/>
  <c r="N80" i="2"/>
  <c r="M80" i="2"/>
  <c r="E80" i="2"/>
  <c r="D80" i="2"/>
  <c r="C80" i="2"/>
  <c r="B80" i="2"/>
  <c r="P79" i="2"/>
  <c r="O79" i="2"/>
  <c r="O7" i="2" s="1"/>
  <c r="AN4" i="2" s="1"/>
  <c r="N79" i="2"/>
  <c r="M79" i="2"/>
  <c r="E79" i="2"/>
  <c r="D79" i="2"/>
  <c r="C79" i="2"/>
  <c r="B79" i="2"/>
  <c r="P78" i="2"/>
  <c r="O78" i="2"/>
  <c r="N78" i="2"/>
  <c r="M78" i="2"/>
  <c r="E78" i="2"/>
  <c r="D78" i="2"/>
  <c r="C78" i="2"/>
  <c r="B78" i="2"/>
  <c r="P77" i="2"/>
  <c r="O77" i="2"/>
  <c r="N77" i="2"/>
  <c r="M77" i="2"/>
  <c r="E77" i="2"/>
  <c r="D77" i="2"/>
  <c r="C77" i="2"/>
  <c r="B77" i="2"/>
  <c r="P76" i="2"/>
  <c r="O76" i="2"/>
  <c r="N76" i="2"/>
  <c r="M76" i="2"/>
  <c r="E76" i="2"/>
  <c r="D76" i="2"/>
  <c r="C76" i="2"/>
  <c r="B76" i="2"/>
  <c r="P75" i="2"/>
  <c r="O75" i="2"/>
  <c r="N75" i="2"/>
  <c r="M75" i="2"/>
  <c r="E75" i="2"/>
  <c r="D75" i="2"/>
  <c r="C75" i="2"/>
  <c r="B75" i="2"/>
  <c r="P68" i="2"/>
  <c r="O68" i="2"/>
  <c r="N68" i="2"/>
  <c r="M68" i="2"/>
  <c r="E68" i="2"/>
  <c r="D68" i="2"/>
  <c r="C68" i="2"/>
  <c r="B68" i="2"/>
  <c r="P67" i="2"/>
  <c r="O67" i="2"/>
  <c r="M67" i="2"/>
  <c r="E67" i="2"/>
  <c r="D67" i="2"/>
  <c r="C67" i="2"/>
  <c r="B67" i="2"/>
  <c r="P66" i="2"/>
  <c r="O66" i="2"/>
  <c r="N66" i="2"/>
  <c r="M66" i="2"/>
  <c r="E66" i="2"/>
  <c r="D66" i="2"/>
  <c r="C66" i="2"/>
  <c r="B66" i="2"/>
  <c r="P65" i="2"/>
  <c r="O65" i="2"/>
  <c r="N65" i="2"/>
  <c r="M65" i="2"/>
  <c r="E65" i="2"/>
  <c r="D65" i="2"/>
  <c r="C65" i="2"/>
  <c r="B65" i="2"/>
  <c r="AB64" i="2"/>
  <c r="AB65" i="2" s="1"/>
  <c r="AB66" i="2" s="1"/>
  <c r="P64" i="2"/>
  <c r="O64" i="2"/>
  <c r="N64" i="2"/>
  <c r="M64" i="2"/>
  <c r="E64" i="2"/>
  <c r="D64" i="2"/>
  <c r="C64" i="2"/>
  <c r="B64" i="2"/>
  <c r="P63" i="2"/>
  <c r="O63" i="2"/>
  <c r="N63" i="2"/>
  <c r="E63" i="2"/>
  <c r="D63" i="2"/>
  <c r="C63" i="2"/>
  <c r="B63" i="2"/>
  <c r="P62" i="2"/>
  <c r="O62" i="2"/>
  <c r="N62" i="2"/>
  <c r="M62" i="2"/>
  <c r="E62" i="2"/>
  <c r="D62" i="2"/>
  <c r="C62" i="2"/>
  <c r="B62" i="2"/>
  <c r="AB61" i="2"/>
  <c r="AB62" i="2" s="1"/>
  <c r="AB63" i="2" s="1"/>
  <c r="P61" i="2"/>
  <c r="O61" i="2"/>
  <c r="N61" i="2"/>
  <c r="M61" i="2"/>
  <c r="E61" i="2"/>
  <c r="D61" i="2"/>
  <c r="C61" i="2"/>
  <c r="B61" i="2"/>
  <c r="B7" i="2" s="1"/>
  <c r="AL22" i="2" s="1"/>
  <c r="P60" i="2"/>
  <c r="O60" i="2"/>
  <c r="N60" i="2"/>
  <c r="M60" i="2"/>
  <c r="E60" i="2"/>
  <c r="D60" i="2"/>
  <c r="C60" i="2"/>
  <c r="B60" i="2"/>
  <c r="P59" i="2"/>
  <c r="O59" i="2"/>
  <c r="O5" i="2" s="1"/>
  <c r="N59" i="2"/>
  <c r="M59" i="2"/>
  <c r="E59" i="2"/>
  <c r="D59" i="2"/>
  <c r="C59" i="2"/>
  <c r="B59" i="2"/>
  <c r="P58" i="2"/>
  <c r="O58" i="2"/>
  <c r="N58" i="2"/>
  <c r="M58" i="2"/>
  <c r="E58" i="2"/>
  <c r="D58" i="2"/>
  <c r="C58" i="2"/>
  <c r="C4" i="2" s="1"/>
  <c r="B58" i="2"/>
  <c r="AB57" i="2"/>
  <c r="P57" i="2"/>
  <c r="O57" i="2"/>
  <c r="N57" i="2"/>
  <c r="M57" i="2"/>
  <c r="E57" i="2"/>
  <c r="D57" i="2"/>
  <c r="C57" i="2"/>
  <c r="B57" i="2"/>
  <c r="AB56" i="2"/>
  <c r="P50" i="2"/>
  <c r="P14" i="2" s="1"/>
  <c r="O50" i="2"/>
  <c r="N50" i="2"/>
  <c r="M50" i="2"/>
  <c r="E50" i="2"/>
  <c r="D50" i="2"/>
  <c r="C50" i="2"/>
  <c r="B50" i="2"/>
  <c r="P49" i="2"/>
  <c r="O49" i="2"/>
  <c r="N49" i="2"/>
  <c r="M49" i="2"/>
  <c r="M13" i="2" s="1"/>
  <c r="E49" i="2"/>
  <c r="D49" i="2"/>
  <c r="C49" i="2"/>
  <c r="B49" i="2"/>
  <c r="P48" i="2"/>
  <c r="O48" i="2"/>
  <c r="M48" i="2"/>
  <c r="E48" i="2"/>
  <c r="D48" i="2"/>
  <c r="C48" i="2"/>
  <c r="C12" i="2" s="1"/>
  <c r="AM24" i="2" s="1"/>
  <c r="AM33" i="2" s="1"/>
  <c r="B48" i="2"/>
  <c r="P47" i="2"/>
  <c r="O47" i="2"/>
  <c r="N47" i="2"/>
  <c r="M47" i="2"/>
  <c r="E47" i="2"/>
  <c r="D47" i="2"/>
  <c r="C47" i="2"/>
  <c r="B47" i="2"/>
  <c r="P46" i="2"/>
  <c r="O46" i="2"/>
  <c r="N46" i="2"/>
  <c r="M46" i="2"/>
  <c r="E46" i="2"/>
  <c r="D46" i="2"/>
  <c r="C46" i="2"/>
  <c r="B46" i="2"/>
  <c r="P45" i="2"/>
  <c r="O45" i="2"/>
  <c r="N45" i="2"/>
  <c r="M45" i="2"/>
  <c r="E45" i="2"/>
  <c r="D45" i="2"/>
  <c r="C45" i="2"/>
  <c r="B45" i="2"/>
  <c r="P44" i="2"/>
  <c r="O44" i="2"/>
  <c r="N44" i="2"/>
  <c r="E44" i="2"/>
  <c r="D44" i="2"/>
  <c r="C44" i="2"/>
  <c r="B44" i="2"/>
  <c r="P43" i="2"/>
  <c r="O43" i="2"/>
  <c r="N43" i="2"/>
  <c r="M43" i="2"/>
  <c r="E43" i="2"/>
  <c r="D43" i="2"/>
  <c r="C43" i="2"/>
  <c r="B43" i="2"/>
  <c r="P42" i="2"/>
  <c r="O42" i="2"/>
  <c r="N42" i="2"/>
  <c r="M42" i="2"/>
  <c r="E42" i="2"/>
  <c r="D42" i="2"/>
  <c r="C42" i="2"/>
  <c r="B42" i="2"/>
  <c r="P41" i="2"/>
  <c r="O41" i="2"/>
  <c r="N41" i="2"/>
  <c r="M41" i="2"/>
  <c r="E41" i="2"/>
  <c r="D41" i="2"/>
  <c r="C41" i="2"/>
  <c r="B41" i="2"/>
  <c r="P40" i="2"/>
  <c r="O40" i="2"/>
  <c r="N40" i="2"/>
  <c r="M40" i="2"/>
  <c r="E40" i="2"/>
  <c r="D40" i="2"/>
  <c r="C40" i="2"/>
  <c r="B40" i="2"/>
  <c r="P39" i="2"/>
  <c r="O39" i="2"/>
  <c r="O3" i="2" s="1"/>
  <c r="AN3" i="2" s="1"/>
  <c r="AN12" i="2" s="1"/>
  <c r="N39" i="2"/>
  <c r="M39" i="2"/>
  <c r="E39" i="2"/>
  <c r="D39" i="2"/>
  <c r="C39" i="2"/>
  <c r="B39" i="2"/>
  <c r="P32" i="2"/>
  <c r="O32" i="2"/>
  <c r="N32" i="2"/>
  <c r="M32" i="2"/>
  <c r="E32" i="2"/>
  <c r="D32" i="2"/>
  <c r="C32" i="2"/>
  <c r="B32" i="2"/>
  <c r="P31" i="2"/>
  <c r="O31" i="2"/>
  <c r="N31" i="2"/>
  <c r="M31" i="2"/>
  <c r="E31" i="2"/>
  <c r="D31" i="2"/>
  <c r="C31" i="2"/>
  <c r="B31" i="2"/>
  <c r="AA30" i="2"/>
  <c r="P30" i="2"/>
  <c r="O30" i="2"/>
  <c r="N30" i="2"/>
  <c r="M30" i="2"/>
  <c r="M12" i="2" s="1"/>
  <c r="AL6" i="2" s="1"/>
  <c r="E30" i="2"/>
  <c r="D30" i="2"/>
  <c r="C30" i="2"/>
  <c r="B30" i="2"/>
  <c r="AB29" i="2"/>
  <c r="AB30" i="2" s="1"/>
  <c r="AB31" i="2" s="1"/>
  <c r="AA29" i="2"/>
  <c r="P29" i="2"/>
  <c r="O29" i="2"/>
  <c r="M29" i="2"/>
  <c r="E29" i="2"/>
  <c r="D29" i="2"/>
  <c r="C29" i="2"/>
  <c r="B29" i="2"/>
  <c r="B11" i="2" s="1"/>
  <c r="AB28" i="2"/>
  <c r="AA28" i="2"/>
  <c r="P28" i="2"/>
  <c r="O28" i="2"/>
  <c r="N28" i="2"/>
  <c r="M28" i="2"/>
  <c r="E28" i="2"/>
  <c r="D28" i="2"/>
  <c r="C28" i="2"/>
  <c r="B28" i="2"/>
  <c r="AB27" i="2"/>
  <c r="AA27" i="2"/>
  <c r="P27" i="2"/>
  <c r="O27" i="2"/>
  <c r="N27" i="2"/>
  <c r="M27" i="2"/>
  <c r="F27" i="2"/>
  <c r="E27" i="2"/>
  <c r="D27" i="2"/>
  <c r="C27" i="2"/>
  <c r="B27" i="2"/>
  <c r="AB26" i="2"/>
  <c r="AA26" i="2"/>
  <c r="P26" i="2"/>
  <c r="O26" i="2"/>
  <c r="N26" i="2"/>
  <c r="N8" i="2" s="1"/>
  <c r="AM4" i="2" s="1"/>
  <c r="M26" i="2"/>
  <c r="E26" i="2"/>
  <c r="D26" i="2"/>
  <c r="C26" i="2"/>
  <c r="B26" i="2"/>
  <c r="AA25" i="2"/>
  <c r="P25" i="2"/>
  <c r="O25" i="2"/>
  <c r="N25" i="2"/>
  <c r="E25" i="2"/>
  <c r="D25" i="2"/>
  <c r="F26" i="2" s="1"/>
  <c r="C25" i="2"/>
  <c r="C7" i="2" s="1"/>
  <c r="B25" i="2"/>
  <c r="AA24" i="2"/>
  <c r="P24" i="2"/>
  <c r="O24" i="2"/>
  <c r="N24" i="2"/>
  <c r="M24" i="2"/>
  <c r="E24" i="2"/>
  <c r="D24" i="2"/>
  <c r="C24" i="2"/>
  <c r="B24" i="2"/>
  <c r="AA23" i="2"/>
  <c r="P23" i="2"/>
  <c r="O23" i="2"/>
  <c r="N23" i="2"/>
  <c r="M23" i="2"/>
  <c r="E23" i="2"/>
  <c r="D23" i="2"/>
  <c r="C23" i="2"/>
  <c r="B23" i="2"/>
  <c r="P22" i="2"/>
  <c r="O22" i="2"/>
  <c r="N22" i="2"/>
  <c r="M22" i="2"/>
  <c r="E22" i="2"/>
  <c r="D22" i="2"/>
  <c r="C22" i="2"/>
  <c r="B22" i="2"/>
  <c r="AL21" i="2"/>
  <c r="P21" i="2"/>
  <c r="O21" i="2"/>
  <c r="N21" i="2"/>
  <c r="M21" i="2"/>
  <c r="E21" i="2"/>
  <c r="C21" i="2"/>
  <c r="B21" i="2"/>
  <c r="O14" i="2"/>
  <c r="M14" i="2"/>
  <c r="E14" i="2"/>
  <c r="AA49" i="2" s="1"/>
  <c r="D14" i="2"/>
  <c r="C14" i="2"/>
  <c r="B14" i="2"/>
  <c r="P13" i="2"/>
  <c r="AO6" i="2" s="1"/>
  <c r="E13" i="2"/>
  <c r="AA48" i="2" s="1"/>
  <c r="D13" i="2"/>
  <c r="C13" i="2"/>
  <c r="B13" i="2"/>
  <c r="P12" i="2"/>
  <c r="O12" i="2"/>
  <c r="AN6" i="2" s="1"/>
  <c r="E12" i="2"/>
  <c r="AA47" i="2" s="1"/>
  <c r="AA65" i="2" s="1"/>
  <c r="D12" i="2"/>
  <c r="AN24" i="2" s="1"/>
  <c r="B12" i="2"/>
  <c r="AL24" i="2" s="1"/>
  <c r="P11" i="2"/>
  <c r="M11" i="2"/>
  <c r="E11" i="2"/>
  <c r="AA46" i="2" s="1"/>
  <c r="D11" i="2"/>
  <c r="AN23" i="2" s="1"/>
  <c r="AN32" i="2" s="1"/>
  <c r="C11" i="2"/>
  <c r="P10" i="2"/>
  <c r="O10" i="2"/>
  <c r="N10" i="2"/>
  <c r="E10" i="2"/>
  <c r="AA45" i="2" s="1"/>
  <c r="AA63" i="2" s="1"/>
  <c r="D10" i="2"/>
  <c r="C10" i="2"/>
  <c r="B10" i="2"/>
  <c r="P9" i="2"/>
  <c r="N9" i="2"/>
  <c r="E9" i="2"/>
  <c r="AA44" i="2" s="1"/>
  <c r="D9" i="2"/>
  <c r="C9" i="2"/>
  <c r="AM23" i="2" s="1"/>
  <c r="B9" i="2"/>
  <c r="P8" i="2"/>
  <c r="AO4" i="2" s="1"/>
  <c r="O8" i="2"/>
  <c r="E8" i="2"/>
  <c r="AA43" i="2" s="1"/>
  <c r="D8" i="2"/>
  <c r="C8" i="2"/>
  <c r="B8" i="2"/>
  <c r="P7" i="2"/>
  <c r="N7" i="2"/>
  <c r="E7" i="2"/>
  <c r="AA42" i="2" s="1"/>
  <c r="AA60" i="2" s="1"/>
  <c r="D7" i="2"/>
  <c r="P6" i="2"/>
  <c r="O6" i="2"/>
  <c r="N6" i="2"/>
  <c r="M6" i="2"/>
  <c r="E6" i="2"/>
  <c r="AA41" i="2" s="1"/>
  <c r="D6" i="2"/>
  <c r="AN22" i="2" s="1"/>
  <c r="C6" i="2"/>
  <c r="B6" i="2"/>
  <c r="AO5" i="2"/>
  <c r="P5" i="2"/>
  <c r="N5" i="2"/>
  <c r="M5" i="2"/>
  <c r="E5" i="2"/>
  <c r="AA40" i="2" s="1"/>
  <c r="AA58" i="2" s="1"/>
  <c r="D5" i="2"/>
  <c r="C5" i="2"/>
  <c r="B5" i="2"/>
  <c r="P4" i="2"/>
  <c r="O4" i="2"/>
  <c r="N4" i="2"/>
  <c r="M4" i="2"/>
  <c r="E4" i="2"/>
  <c r="AA39" i="2" s="1"/>
  <c r="D4" i="2"/>
  <c r="B4" i="2"/>
  <c r="AO3" i="2"/>
  <c r="AO12" i="2" s="1"/>
  <c r="AM3" i="2"/>
  <c r="AA3" i="2"/>
  <c r="AA22" i="2" s="1"/>
  <c r="P3" i="2"/>
  <c r="N3" i="2"/>
  <c r="M3" i="2"/>
  <c r="AL3" i="2" s="1"/>
  <c r="E3" i="2"/>
  <c r="AO21" i="2" s="1"/>
  <c r="D3" i="2"/>
  <c r="AN21" i="2" s="1"/>
  <c r="C3" i="2"/>
  <c r="Y38" i="2" s="1"/>
  <c r="Y39" i="2" s="1"/>
  <c r="B3" i="2"/>
  <c r="Y40" i="2" l="1"/>
  <c r="Y57" i="2"/>
  <c r="AA66" i="2"/>
  <c r="AA64" i="2"/>
  <c r="AL5" i="2"/>
  <c r="AA61" i="2"/>
  <c r="AD7" i="4"/>
  <c r="AM22" i="2"/>
  <c r="AM31" i="2" s="1"/>
  <c r="AN31" i="2"/>
  <c r="AL23" i="2"/>
  <c r="AM32" i="2" s="1"/>
  <c r="AO30" i="2"/>
  <c r="AA59" i="2"/>
  <c r="AM12" i="2"/>
  <c r="N13" i="2"/>
  <c r="AM6" i="2" s="1"/>
  <c r="AA67" i="2"/>
  <c r="AA62" i="2"/>
  <c r="AN33" i="2"/>
  <c r="AN13" i="2"/>
  <c r="AN14" i="2"/>
  <c r="AD23" i="4"/>
  <c r="Z38" i="2"/>
  <c r="M82" i="2"/>
  <c r="M10" i="2" s="1"/>
  <c r="V6" i="4"/>
  <c r="Y7" i="4"/>
  <c r="Z8" i="4"/>
  <c r="AA9" i="4"/>
  <c r="V22" i="4"/>
  <c r="Y23" i="4"/>
  <c r="Z24" i="4"/>
  <c r="AA25" i="4"/>
  <c r="AB26" i="4"/>
  <c r="AA38" i="2"/>
  <c r="AA57" i="2" s="1"/>
  <c r="V5" i="4"/>
  <c r="AD5" i="4" s="1"/>
  <c r="V21" i="4"/>
  <c r="AD21" i="4" s="1"/>
  <c r="V36" i="4"/>
  <c r="AD36" i="4" s="1"/>
  <c r="AC37" i="4"/>
  <c r="Z5" i="4"/>
  <c r="AA6" i="4"/>
  <c r="AB7" i="4"/>
  <c r="AC8" i="4"/>
  <c r="V19" i="4"/>
  <c r="Y20" i="4"/>
  <c r="Z21" i="4"/>
  <c r="AA22" i="4"/>
  <c r="AB23" i="4"/>
  <c r="AC24" i="4"/>
  <c r="V35" i="4"/>
  <c r="V18" i="4"/>
  <c r="V34" i="4"/>
  <c r="AD34" i="4" s="1"/>
  <c r="Z36" i="4"/>
  <c r="V17" i="4"/>
  <c r="AD17" i="4" s="1"/>
  <c r="V33" i="4"/>
  <c r="AC5" i="4"/>
  <c r="V16" i="4"/>
  <c r="Y17" i="4"/>
  <c r="Z18" i="4"/>
  <c r="AA19" i="4"/>
  <c r="AB20" i="4"/>
  <c r="AC21" i="4"/>
  <c r="V32" i="4"/>
  <c r="Y33" i="4"/>
  <c r="Z34" i="4"/>
  <c r="AA35" i="4"/>
  <c r="AB36" i="4"/>
  <c r="V15" i="4"/>
  <c r="V31" i="4"/>
  <c r="AD31" i="4" s="1"/>
  <c r="V14" i="4"/>
  <c r="AD14" i="4" s="1"/>
  <c r="V30" i="4"/>
  <c r="AD30" i="4" s="1"/>
  <c r="AM21" i="2"/>
  <c r="AM30" i="2" s="1"/>
  <c r="V11" i="4"/>
  <c r="AD12" i="4" s="1"/>
  <c r="V27" i="4"/>
  <c r="V10" i="4"/>
  <c r="AD10" i="4" s="1"/>
  <c r="Y11" i="4"/>
  <c r="Z12" i="4"/>
  <c r="AA13" i="4"/>
  <c r="AB14" i="4"/>
  <c r="AC15" i="4"/>
  <c r="M25" i="2"/>
  <c r="M7" i="2" s="1"/>
  <c r="AL4" i="2" s="1"/>
  <c r="AM13" i="2" s="1"/>
  <c r="V25" i="4"/>
  <c r="AD25" i="4" s="1"/>
  <c r="V8" i="4"/>
  <c r="AD8" i="4" s="1"/>
  <c r="Y9" i="4"/>
  <c r="Z10" i="4"/>
  <c r="AA11" i="4"/>
  <c r="AB12" i="4"/>
  <c r="AC13" i="4"/>
  <c r="V24" i="4"/>
  <c r="AD24" i="4" s="1"/>
  <c r="Y25" i="4"/>
  <c r="Z26" i="4"/>
  <c r="AA27" i="4"/>
  <c r="AB28" i="4"/>
  <c r="AC29" i="4"/>
  <c r="N29" i="2"/>
  <c r="N11" i="2" s="1"/>
  <c r="AM5" i="2" s="1"/>
  <c r="AM14" i="2" s="1"/>
  <c r="AM15" i="2" l="1"/>
  <c r="AN15" i="2"/>
  <c r="AD15" i="4"/>
  <c r="C3" i="3"/>
  <c r="Y3" i="2"/>
  <c r="Y4" i="2" s="1"/>
  <c r="AD35" i="4"/>
  <c r="AD32" i="4"/>
  <c r="AD9" i="4"/>
  <c r="AD16" i="4"/>
  <c r="AD6" i="4"/>
  <c r="AD18" i="4"/>
  <c r="AD37" i="4"/>
  <c r="Y41" i="2"/>
  <c r="Y58" i="2"/>
  <c r="AD22" i="4"/>
  <c r="AD19" i="4"/>
  <c r="AD20" i="4"/>
  <c r="D3" i="3"/>
  <c r="AD27" i="4"/>
  <c r="Z3" i="2"/>
  <c r="AD26" i="4"/>
  <c r="AD11" i="4"/>
  <c r="AD33" i="4"/>
  <c r="Z39" i="2"/>
  <c r="AC38" i="2"/>
  <c r="AB38" i="2"/>
  <c r="AD28" i="4"/>
  <c r="AN30" i="2"/>
  <c r="Y59" i="2" l="1"/>
  <c r="Y42" i="2"/>
  <c r="AB39" i="2"/>
  <c r="AB21" i="2" s="1"/>
  <c r="Z57" i="2"/>
  <c r="Z40" i="2"/>
  <c r="AC39" i="2"/>
  <c r="Y22" i="2"/>
  <c r="Y5" i="2"/>
  <c r="AC3" i="2"/>
  <c r="AB3" i="2"/>
  <c r="Z4" i="2"/>
  <c r="Z22" i="2" l="1"/>
  <c r="AC4" i="2"/>
  <c r="AB4" i="2"/>
  <c r="Z5" i="2"/>
  <c r="Y60" i="2"/>
  <c r="Y43" i="2"/>
  <c r="Y23" i="2"/>
  <c r="Y6" i="2"/>
  <c r="AC40" i="2"/>
  <c r="AB40" i="2"/>
  <c r="AB22" i="2" s="1"/>
  <c r="Z41" i="2"/>
  <c r="Z58" i="2"/>
  <c r="AC41" i="2" l="1"/>
  <c r="Z59" i="2"/>
  <c r="AB41" i="2"/>
  <c r="Z42" i="2"/>
  <c r="Y24" i="2"/>
  <c r="Y7" i="2"/>
  <c r="Y44" i="2"/>
  <c r="Y61" i="2"/>
  <c r="Z23" i="2"/>
  <c r="AC5" i="2"/>
  <c r="AB5" i="2"/>
  <c r="Z6" i="2"/>
  <c r="Z24" i="2" l="1"/>
  <c r="AC6" i="2"/>
  <c r="AB6" i="2"/>
  <c r="Z7" i="2"/>
  <c r="Y62" i="2"/>
  <c r="Y45" i="2"/>
  <c r="Y8" i="2"/>
  <c r="Y25" i="2"/>
  <c r="Z60" i="2"/>
  <c r="AC42" i="2"/>
  <c r="AB42" i="2"/>
  <c r="Z43" i="2"/>
  <c r="Y26" i="2" l="1"/>
  <c r="Y9" i="2"/>
  <c r="Z44" i="2"/>
  <c r="AC43" i="2"/>
  <c r="Z61" i="2"/>
  <c r="AB43" i="2"/>
  <c r="Y63" i="2"/>
  <c r="Y46" i="2"/>
  <c r="Z8" i="2"/>
  <c r="AC7" i="2"/>
  <c r="Z25" i="2"/>
  <c r="AB7" i="2"/>
  <c r="Y64" i="2" l="1"/>
  <c r="Y47" i="2"/>
  <c r="Y27" i="2"/>
  <c r="Y10" i="2"/>
  <c r="AC8" i="2"/>
  <c r="Z26" i="2"/>
  <c r="AB8" i="2"/>
  <c r="Z9" i="2"/>
  <c r="Z62" i="2"/>
  <c r="Z45" i="2"/>
  <c r="AC44" i="2"/>
  <c r="AB44" i="2"/>
  <c r="AC45" i="2" l="1"/>
  <c r="AB45" i="2"/>
  <c r="Z63" i="2"/>
  <c r="Z46" i="2"/>
  <c r="Z27" i="2"/>
  <c r="AB9" i="2"/>
  <c r="Z10" i="2"/>
  <c r="AC9" i="2"/>
  <c r="Y28" i="2"/>
  <c r="Y11" i="2"/>
  <c r="Y65" i="2"/>
  <c r="Y48" i="2"/>
  <c r="Y66" i="2" l="1"/>
  <c r="Y49" i="2"/>
  <c r="Y67" i="2" s="1"/>
  <c r="AB67" i="2" s="1"/>
  <c r="Y12" i="2"/>
  <c r="Y29" i="2"/>
  <c r="Z28" i="2"/>
  <c r="AC10" i="2"/>
  <c r="AB10" i="2"/>
  <c r="Z11" i="2"/>
  <c r="AB46" i="2"/>
  <c r="AC46" i="2"/>
  <c r="Z64" i="2"/>
  <c r="Z47" i="2"/>
  <c r="AC47" i="2" l="1"/>
  <c r="AB47" i="2"/>
  <c r="Z65" i="2"/>
  <c r="Z48" i="2"/>
  <c r="Z12" i="2"/>
  <c r="Z29" i="2"/>
  <c r="AC11" i="2"/>
  <c r="AB11" i="2"/>
  <c r="Y30" i="2"/>
  <c r="Y13" i="2"/>
  <c r="Y31" i="2" l="1"/>
  <c r="Y14" i="2"/>
  <c r="Y32" i="2" s="1"/>
  <c r="AB32" i="2" s="1"/>
  <c r="Z30" i="2"/>
  <c r="AC12" i="2"/>
  <c r="AB12" i="2"/>
  <c r="Z13" i="2"/>
  <c r="Z49" i="2"/>
  <c r="AC48" i="2"/>
  <c r="AB48" i="2"/>
  <c r="Z50" i="2" l="1"/>
  <c r="AC49" i="2"/>
  <c r="AB49" i="2"/>
  <c r="AC13" i="2"/>
  <c r="AB13" i="2"/>
  <c r="Z14" i="2"/>
  <c r="Z15" i="2" l="1"/>
  <c r="AC14" i="2"/>
  <c r="AB14" i="2"/>
</calcChain>
</file>

<file path=xl/sharedStrings.xml><?xml version="1.0" encoding="utf-8"?>
<sst xmlns="http://schemas.openxmlformats.org/spreadsheetml/2006/main" count="318" uniqueCount="86">
  <si>
    <t>Take Aways</t>
  </si>
  <si>
    <t>There are large data gaps or extreme inconsistencies in scheduling</t>
  </si>
  <si>
    <t>Negative months don't make sense</t>
  </si>
  <si>
    <t>There are several instances of positive and negative cancelling transactions</t>
  </si>
  <si>
    <t>Search</t>
  </si>
  <si>
    <t>L1</t>
  </si>
  <si>
    <t>L2</t>
  </si>
  <si>
    <t>L3</t>
  </si>
  <si>
    <t>L4</t>
  </si>
  <si>
    <t>Total Class Registration Count</t>
  </si>
  <si>
    <t>All Classes Revenue</t>
  </si>
  <si>
    <t>All Classes YTD Revenue</t>
  </si>
  <si>
    <t>All Classes Quarterly Revenue</t>
  </si>
  <si>
    <t>Target/Projection</t>
  </si>
  <si>
    <t>2024 YTD</t>
  </si>
  <si>
    <t>2025 YTD</t>
  </si>
  <si>
    <t>2026 YTD</t>
  </si>
  <si>
    <t>Target</t>
  </si>
  <si>
    <t>Stretch</t>
  </si>
  <si>
    <t>Jan</t>
  </si>
  <si>
    <t>Q1</t>
  </si>
  <si>
    <t>Feb</t>
  </si>
  <si>
    <t>Q2</t>
  </si>
  <si>
    <t>Mar</t>
  </si>
  <si>
    <t>Q3</t>
  </si>
  <si>
    <t>Apr</t>
  </si>
  <si>
    <t>Q4</t>
  </si>
  <si>
    <t>May</t>
  </si>
  <si>
    <t>Jun</t>
  </si>
  <si>
    <t>Jul</t>
  </si>
  <si>
    <t>Aug</t>
  </si>
  <si>
    <t>All Classes YoY Quarterly Revenue</t>
  </si>
  <si>
    <t>Sep</t>
  </si>
  <si>
    <t>Oct</t>
  </si>
  <si>
    <t>Nov</t>
  </si>
  <si>
    <t>Dec</t>
  </si>
  <si>
    <t>Level 1 Registration Count</t>
  </si>
  <si>
    <t>Level 1 Revenue</t>
  </si>
  <si>
    <t>All Classes YTD MoM Revenue</t>
  </si>
  <si>
    <t>All Classes Quarterly Registrations</t>
  </si>
  <si>
    <t>All Classes YoY Quarterly Registrations</t>
  </si>
  <si>
    <t>All Classes YTD Registrations</t>
  </si>
  <si>
    <t>Level 2 Registration Count</t>
  </si>
  <si>
    <t>Level 2 Revenue</t>
  </si>
  <si>
    <t>All Classes YTD MoM Registrations</t>
  </si>
  <si>
    <t>Level 3 Registration Count</t>
  </si>
  <si>
    <t>Level 3 Revenue</t>
  </si>
  <si>
    <t>Level 4 Registration Count</t>
  </si>
  <si>
    <t>Level 4 Revenue</t>
  </si>
  <si>
    <t>Other Classes</t>
  </si>
  <si>
    <t>Level 1</t>
  </si>
  <si>
    <t>Workshop</t>
  </si>
  <si>
    <t>Long Form 1</t>
  </si>
  <si>
    <t>Ross Byrant Workshop</t>
  </si>
  <si>
    <t>Manager Workshops</t>
  </si>
  <si>
    <t>Month Over Month Change</t>
  </si>
  <si>
    <t>Tickets</t>
  </si>
  <si>
    <t>Revenue</t>
  </si>
  <si>
    <t>Total</t>
  </si>
  <si>
    <t>Notes</t>
  </si>
  <si>
    <t>Level 2</t>
  </si>
  <si>
    <t>Level 3</t>
  </si>
  <si>
    <t>Level 4</t>
  </si>
  <si>
    <t>HIS Showcase</t>
  </si>
  <si>
    <t>L3 2 tick &amp; 2 refunds</t>
  </si>
  <si>
    <t>L3 2 refunds</t>
  </si>
  <si>
    <t>L2 1 tic &amp; 1 refund</t>
  </si>
  <si>
    <t>L3 2 tx &amp; 1 refund; L2 1 refund</t>
  </si>
  <si>
    <t>L3 3 refunds</t>
  </si>
  <si>
    <t>Date</t>
  </si>
  <si>
    <t>Month</t>
  </si>
  <si>
    <t>Year</t>
  </si>
  <si>
    <t>CSz</t>
  </si>
  <si>
    <t>CSZ GFT Grand Opening</t>
  </si>
  <si>
    <t>Beer Babies</t>
  </si>
  <si>
    <t>Improv the Musical</t>
  </si>
  <si>
    <t>Maestro</t>
  </si>
  <si>
    <t>Bards Bounty</t>
  </si>
  <si>
    <t>Schooby-Doo</t>
  </si>
  <si>
    <t>Charlie BrownChristmas</t>
  </si>
  <si>
    <t>Newest Olypian</t>
  </si>
  <si>
    <t>May the 4th Be With You</t>
  </si>
  <si>
    <t>Chris Grace &amp; Tim Murry Stand Up</t>
  </si>
  <si>
    <t>Improv Rodeo</t>
  </si>
  <si>
    <t>Merch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</si>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</sst>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name val="Aptos Narrow"/>
    </font>
    <font>
      <sz val="11"/>
      <color theme="1"/>
      <name val="Arial"/>
    </font>
    <font>
      <sz val="11"/>
      <color theme="1"/>
      <name val="Aptos Narrow"/>
    </font>
    <font>
      <b/>
      <sz val="11"/>
      <color theme="1"/>
      <name val="Arial"/>
    </font>
    <font>
      <sz val="11"/>
      <color rgb="FF000000"/>
      <name val="Arial"/>
    </font>
    <font>
      <b/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4" fillId="2" borderId="6" xfId="0" applyFont="1" applyFill="1" applyBorder="1"/>
    <xf numFmtId="0" fontId="1" fillId="2" borderId="0" xfId="0" applyFont="1" applyFill="1"/>
    <xf numFmtId="0" fontId="4" fillId="2" borderId="0" xfId="0" applyFont="1" applyFill="1"/>
    <xf numFmtId="0" fontId="4" fillId="0" borderId="0" xfId="0" applyFont="1"/>
    <xf numFmtId="0" fontId="1" fillId="2" borderId="7" xfId="0" applyFont="1" applyFill="1" applyBorder="1"/>
    <xf numFmtId="3" fontId="5" fillId="0" borderId="0" xfId="0" applyNumberFormat="1" applyFont="1"/>
    <xf numFmtId="3" fontId="5" fillId="0" borderId="8" xfId="0" applyNumberFormat="1" applyFont="1" applyBorder="1"/>
    <xf numFmtId="44" fontId="5" fillId="0" borderId="0" xfId="0" applyNumberFormat="1" applyFont="1"/>
    <xf numFmtId="44" fontId="1" fillId="0" borderId="0" xfId="0" applyNumberFormat="1" applyFont="1"/>
    <xf numFmtId="44" fontId="2" fillId="0" borderId="0" xfId="0" applyNumberFormat="1" applyFont="1"/>
    <xf numFmtId="0" fontId="1" fillId="2" borderId="9" xfId="0" applyFont="1" applyFill="1" applyBorder="1"/>
    <xf numFmtId="0" fontId="4" fillId="2" borderId="9" xfId="0" applyFont="1" applyFill="1" applyBorder="1"/>
    <xf numFmtId="0" fontId="6" fillId="0" borderId="0" xfId="0" applyFont="1"/>
    <xf numFmtId="10" fontId="5" fillId="0" borderId="0" xfId="0" applyNumberFormat="1" applyFont="1"/>
    <xf numFmtId="0" fontId="1" fillId="2" borderId="10" xfId="0" applyFont="1" applyFill="1" applyBorder="1"/>
    <xf numFmtId="3" fontId="5" fillId="0" borderId="11" xfId="0" applyNumberFormat="1" applyFont="1" applyBorder="1"/>
    <xf numFmtId="3" fontId="5" fillId="0" borderId="12" xfId="0" applyNumberFormat="1" applyFont="1" applyBorder="1"/>
    <xf numFmtId="44" fontId="5" fillId="0" borderId="11" xfId="0" applyNumberFormat="1" applyFont="1" applyBorder="1"/>
    <xf numFmtId="10" fontId="1" fillId="0" borderId="0" xfId="0" applyNumberFormat="1" applyFont="1"/>
    <xf numFmtId="3" fontId="2" fillId="0" borderId="0" xfId="0" applyNumberFormat="1" applyFont="1"/>
    <xf numFmtId="3" fontId="1" fillId="0" borderId="0" xfId="0" applyNumberFormat="1" applyFont="1"/>
    <xf numFmtId="0" fontId="1" fillId="3" borderId="0" xfId="0" applyFont="1" applyFill="1"/>
    <xf numFmtId="0" fontId="4" fillId="3" borderId="0" xfId="0" applyFont="1" applyFill="1"/>
    <xf numFmtId="0" fontId="8" fillId="3" borderId="0" xfId="0" applyFont="1" applyFill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3" fontId="10" fillId="3" borderId="13" xfId="0" applyNumberFormat="1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/>
    </xf>
    <xf numFmtId="3" fontId="6" fillId="3" borderId="13" xfId="0" applyNumberFormat="1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8" fillId="0" borderId="14" xfId="0" applyFont="1" applyBorder="1" applyAlignment="1">
      <alignment horizontal="center"/>
    </xf>
    <xf numFmtId="14" fontId="5" fillId="3" borderId="1" xfId="0" applyNumberFormat="1" applyFont="1" applyFill="1" applyBorder="1"/>
    <xf numFmtId="14" fontId="5" fillId="3" borderId="2" xfId="0" applyNumberFormat="1" applyFont="1" applyFill="1" applyBorder="1"/>
    <xf numFmtId="0" fontId="1" fillId="3" borderId="2" xfId="0" applyFont="1" applyFill="1" applyBorder="1"/>
    <xf numFmtId="3" fontId="2" fillId="4" borderId="1" xfId="0" applyNumberFormat="1" applyFont="1" applyFill="1" applyBorder="1"/>
    <xf numFmtId="44" fontId="5" fillId="4" borderId="3" xfId="0" applyNumberFormat="1" applyFont="1" applyFill="1" applyBorder="1"/>
    <xf numFmtId="3" fontId="5" fillId="4" borderId="1" xfId="0" applyNumberFormat="1" applyFont="1" applyFill="1" applyBorder="1"/>
    <xf numFmtId="3" fontId="2" fillId="4" borderId="2" xfId="0" applyNumberFormat="1" applyFont="1" applyFill="1" applyBorder="1"/>
    <xf numFmtId="44" fontId="5" fillId="3" borderId="7" xfId="0" applyNumberFormat="1" applyFont="1" applyFill="1" applyBorder="1"/>
    <xf numFmtId="0" fontId="4" fillId="4" borderId="7" xfId="0" applyFont="1" applyFill="1" applyBorder="1"/>
    <xf numFmtId="0" fontId="1" fillId="0" borderId="9" xfId="0" applyFont="1" applyBorder="1"/>
    <xf numFmtId="44" fontId="5" fillId="0" borderId="9" xfId="0" applyNumberFormat="1" applyFont="1" applyBorder="1"/>
    <xf numFmtId="14" fontId="5" fillId="3" borderId="13" xfId="0" applyNumberFormat="1" applyFont="1" applyFill="1" applyBorder="1"/>
    <xf numFmtId="14" fontId="5" fillId="3" borderId="0" xfId="0" applyNumberFormat="1" applyFont="1" applyFill="1"/>
    <xf numFmtId="3" fontId="2" fillId="4" borderId="13" xfId="0" applyNumberFormat="1" applyFont="1" applyFill="1" applyBorder="1"/>
    <xf numFmtId="44" fontId="5" fillId="4" borderId="8" xfId="0" applyNumberFormat="1" applyFont="1" applyFill="1" applyBorder="1"/>
    <xf numFmtId="3" fontId="5" fillId="4" borderId="13" xfId="0" applyNumberFormat="1" applyFont="1" applyFill="1" applyBorder="1"/>
    <xf numFmtId="3" fontId="5" fillId="4" borderId="0" xfId="0" applyNumberFormat="1" applyFont="1" applyFill="1"/>
    <xf numFmtId="44" fontId="5" fillId="3" borderId="9" xfId="0" applyNumberFormat="1" applyFont="1" applyFill="1" applyBorder="1"/>
    <xf numFmtId="0" fontId="1" fillId="4" borderId="9" xfId="0" applyFont="1" applyFill="1" applyBorder="1"/>
    <xf numFmtId="9" fontId="5" fillId="0" borderId="0" xfId="0" applyNumberFormat="1" applyFont="1"/>
    <xf numFmtId="9" fontId="5" fillId="0" borderId="9" xfId="0" applyNumberFormat="1" applyFont="1" applyBorder="1"/>
    <xf numFmtId="3" fontId="2" fillId="4" borderId="0" xfId="0" applyNumberFormat="1" applyFont="1" applyFill="1"/>
    <xf numFmtId="0" fontId="4" fillId="4" borderId="9" xfId="0" applyFont="1" applyFill="1" applyBorder="1"/>
    <xf numFmtId="14" fontId="5" fillId="3" borderId="15" xfId="0" applyNumberFormat="1" applyFont="1" applyFill="1" applyBorder="1"/>
    <xf numFmtId="14" fontId="5" fillId="3" borderId="11" xfId="0" applyNumberFormat="1" applyFont="1" applyFill="1" applyBorder="1"/>
    <xf numFmtId="0" fontId="1" fillId="3" borderId="11" xfId="0" applyFont="1" applyFill="1" applyBorder="1"/>
    <xf numFmtId="3" fontId="2" fillId="4" borderId="15" xfId="0" applyNumberFormat="1" applyFont="1" applyFill="1" applyBorder="1"/>
    <xf numFmtId="44" fontId="5" fillId="4" borderId="12" xfId="0" applyNumberFormat="1" applyFont="1" applyFill="1" applyBorder="1"/>
    <xf numFmtId="3" fontId="5" fillId="4" borderId="15" xfId="0" applyNumberFormat="1" applyFont="1" applyFill="1" applyBorder="1"/>
    <xf numFmtId="3" fontId="2" fillId="4" borderId="11" xfId="0" applyNumberFormat="1" applyFont="1" applyFill="1" applyBorder="1"/>
    <xf numFmtId="44" fontId="5" fillId="3" borderId="10" xfId="0" applyNumberFormat="1" applyFont="1" applyFill="1" applyBorder="1"/>
    <xf numFmtId="0" fontId="1" fillId="4" borderId="10" xfId="0" applyFont="1" applyFill="1" applyBorder="1"/>
    <xf numFmtId="3" fontId="5" fillId="4" borderId="11" xfId="0" applyNumberFormat="1" applyFont="1" applyFill="1" applyBorder="1"/>
    <xf numFmtId="3" fontId="5" fillId="4" borderId="2" xfId="0" applyNumberFormat="1" applyFont="1" applyFill="1" applyBorder="1"/>
    <xf numFmtId="44" fontId="2" fillId="4" borderId="8" xfId="0" applyNumberFormat="1" applyFont="1" applyFill="1" applyBorder="1"/>
    <xf numFmtId="44" fontId="2" fillId="4" borderId="12" xfId="0" applyNumberFormat="1" applyFont="1" applyFill="1" applyBorder="1"/>
    <xf numFmtId="164" fontId="2" fillId="4" borderId="11" xfId="0" applyNumberFormat="1" applyFont="1" applyFill="1" applyBorder="1"/>
    <xf numFmtId="9" fontId="5" fillId="0" borderId="10" xfId="0" applyNumberFormat="1" applyFont="1" applyBorder="1"/>
    <xf numFmtId="14" fontId="2" fillId="3" borderId="1" xfId="0" applyNumberFormat="1" applyFont="1" applyFill="1" applyBorder="1"/>
    <xf numFmtId="0" fontId="4" fillId="3" borderId="3" xfId="0" applyFont="1" applyFill="1" applyBorder="1"/>
    <xf numFmtId="0" fontId="2" fillId="4" borderId="8" xfId="0" applyFont="1" applyFill="1" applyBorder="1"/>
    <xf numFmtId="14" fontId="2" fillId="3" borderId="13" xfId="0" applyNumberFormat="1" applyFont="1" applyFill="1" applyBorder="1"/>
    <xf numFmtId="0" fontId="4" fillId="3" borderId="8" xfId="0" applyFont="1" applyFill="1" applyBorder="1"/>
    <xf numFmtId="14" fontId="2" fillId="3" borderId="15" xfId="0" applyNumberFormat="1" applyFont="1" applyFill="1" applyBorder="1"/>
    <xf numFmtId="0" fontId="4" fillId="3" borderId="12" xfId="0" applyFont="1" applyFill="1" applyBorder="1"/>
    <xf numFmtId="3" fontId="4" fillId="0" borderId="0" xfId="0" applyNumberFormat="1" applyFont="1"/>
    <xf numFmtId="17" fontId="5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2" fillId="2" borderId="0" xfId="0" applyFont="1" applyFill="1" applyAlignment="1">
      <alignment horizontal="center"/>
    </xf>
    <xf numFmtId="0" fontId="0" fillId="0" borderId="0" xfId="0"/>
    <xf numFmtId="0" fontId="7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3" fontId="6" fillId="3" borderId="1" xfId="0" applyNumberFormat="1" applyFont="1" applyFill="1" applyBorder="1" applyAlignment="1">
      <alignment horizontal="center"/>
    </xf>
    <xf numFmtId="3" fontId="9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Level 1 Monthly Revenue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v>2023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Data'!$L$21:$L$32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Data'!$N$21:$N$32</c:f>
              <c:numCache>
                <c:formatCode>_("$"* #,##0.00_);_("$"* \(#,##0.00\);_("$"* "-"??_);_(@_)</c:formatCode>
                <c:ptCount val="12"/>
                <c:pt idx="0">
                  <c:v>4700.5</c:v>
                </c:pt>
                <c:pt idx="1">
                  <c:v>3041.5</c:v>
                </c:pt>
                <c:pt idx="2">
                  <c:v>3038.5</c:v>
                </c:pt>
                <c:pt idx="3">
                  <c:v>4700.5</c:v>
                </c:pt>
                <c:pt idx="4">
                  <c:v>3871</c:v>
                </c:pt>
                <c:pt idx="5">
                  <c:v>4147.5</c:v>
                </c:pt>
                <c:pt idx="6">
                  <c:v>2488.5</c:v>
                </c:pt>
                <c:pt idx="7">
                  <c:v>3041.5</c:v>
                </c:pt>
                <c:pt idx="8">
                  <c:v>1659</c:v>
                </c:pt>
                <c:pt idx="9">
                  <c:v>0</c:v>
                </c:pt>
                <c:pt idx="10">
                  <c:v>2765</c:v>
                </c:pt>
                <c:pt idx="11">
                  <c:v>3191.5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D00-444D-A744-1DDDFD0DE678}"/>
            </c:ext>
          </c:extLst>
        </c:ser>
        <c:ser>
          <c:idx val="1"/>
          <c:order val="1"/>
          <c:tx>
            <c:v>2024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Data'!$L$21:$L$32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Data'!$O$21:$O$32</c:f>
              <c:numCache>
                <c:formatCode>_("$"* #,##0.00_);_("$"* \(#,##0.00\);_("$"* "-"??_);_(@_)</c:formatCode>
                <c:ptCount val="12"/>
                <c:pt idx="0">
                  <c:v>3040</c:v>
                </c:pt>
                <c:pt idx="1">
                  <c:v>3871</c:v>
                </c:pt>
                <c:pt idx="2">
                  <c:v>1659</c:v>
                </c:pt>
                <c:pt idx="3">
                  <c:v>1106</c:v>
                </c:pt>
                <c:pt idx="4">
                  <c:v>3594.5</c:v>
                </c:pt>
                <c:pt idx="5">
                  <c:v>1659</c:v>
                </c:pt>
                <c:pt idx="6">
                  <c:v>4147.5</c:v>
                </c:pt>
                <c:pt idx="7">
                  <c:v>3594.5</c:v>
                </c:pt>
                <c:pt idx="8">
                  <c:v>3593</c:v>
                </c:pt>
                <c:pt idx="9">
                  <c:v>3038.5</c:v>
                </c:pt>
                <c:pt idx="10">
                  <c:v>2284</c:v>
                </c:pt>
                <c:pt idx="11">
                  <c:v>2404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D00-444D-A744-1DDDFD0DE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3521669"/>
        <c:axId val="368486037"/>
        <c:axId val="0"/>
      </c:bar3DChart>
      <c:catAx>
        <c:axId val="223521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8486037"/>
        <c:crosses val="autoZero"/>
        <c:auto val="1"/>
        <c:lblAlgn val="ctr"/>
        <c:lblOffset val="100"/>
        <c:noMultiLvlLbl val="1"/>
      </c:catAx>
      <c:valAx>
        <c:axId val="3684860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352166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Level 2 Monthly Revenue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v>2024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Data'!$L$39:$L$50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Data'!$N$39:$N$50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3016.5</c:v>
                </c:pt>
                <c:pt idx="3">
                  <c:v>3041.5</c:v>
                </c:pt>
                <c:pt idx="4">
                  <c:v>0</c:v>
                </c:pt>
                <c:pt idx="5">
                  <c:v>3318</c:v>
                </c:pt>
                <c:pt idx="6">
                  <c:v>275</c:v>
                </c:pt>
                <c:pt idx="7">
                  <c:v>3318</c:v>
                </c:pt>
                <c:pt idx="8">
                  <c:v>275</c:v>
                </c:pt>
                <c:pt idx="9">
                  <c:v>0</c:v>
                </c:pt>
                <c:pt idx="10">
                  <c:v>0</c:v>
                </c:pt>
                <c:pt idx="11">
                  <c:v>2765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458-4C40-AE9F-C67F918FB53A}"/>
            </c:ext>
          </c:extLst>
        </c:ser>
        <c:ser>
          <c:idx val="1"/>
          <c:order val="1"/>
          <c:tx>
            <c:v>2025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Data'!$L$39:$L$50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Data'!$O$39:$O$50</c:f>
              <c:numCache>
                <c:formatCode>_("$"* #,##0.00_);_("$"* \(#,##0.00\);_("$"* "-"??_);_(@_)</c:formatCode>
                <c:ptCount val="12"/>
                <c:pt idx="0">
                  <c:v>-276.5</c:v>
                </c:pt>
                <c:pt idx="1">
                  <c:v>0</c:v>
                </c:pt>
                <c:pt idx="2">
                  <c:v>1659</c:v>
                </c:pt>
                <c:pt idx="3">
                  <c:v>-829.5</c:v>
                </c:pt>
                <c:pt idx="4">
                  <c:v>276.5</c:v>
                </c:pt>
                <c:pt idx="5">
                  <c:v>1935.5</c:v>
                </c:pt>
                <c:pt idx="6">
                  <c:v>2212</c:v>
                </c:pt>
                <c:pt idx="7">
                  <c:v>551.5</c:v>
                </c:pt>
                <c:pt idx="8">
                  <c:v>2488.5</c:v>
                </c:pt>
                <c:pt idx="9">
                  <c:v>0</c:v>
                </c:pt>
                <c:pt idx="10">
                  <c:v>1725</c:v>
                </c:pt>
                <c:pt idx="11">
                  <c:v>2712.5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458-4C40-AE9F-C67F918FB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27221243"/>
        <c:axId val="790135126"/>
        <c:axId val="0"/>
      </c:bar3DChart>
      <c:catAx>
        <c:axId val="1127221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0135126"/>
        <c:crosses val="autoZero"/>
        <c:auto val="1"/>
        <c:lblAlgn val="ctr"/>
        <c:lblOffset val="100"/>
        <c:noMultiLvlLbl val="1"/>
      </c:catAx>
      <c:valAx>
        <c:axId val="7901351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722124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Level 3 Monthly Revenue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v>2023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Data'!$L$57:$L$68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Data'!$N$57:$N$68</c:f>
              <c:numCache>
                <c:formatCode>_("$"* #,##0.00_);_("$"* \(#,##0.00\);_("$"* "-"??_);_(@_)</c:formatCode>
                <c:ptCount val="12"/>
                <c:pt idx="0">
                  <c:v>553</c:v>
                </c:pt>
                <c:pt idx="1">
                  <c:v>1106</c:v>
                </c:pt>
                <c:pt idx="2">
                  <c:v>0</c:v>
                </c:pt>
                <c:pt idx="3">
                  <c:v>2488.5</c:v>
                </c:pt>
                <c:pt idx="4">
                  <c:v>0</c:v>
                </c:pt>
                <c:pt idx="5">
                  <c:v>1935.5</c:v>
                </c:pt>
                <c:pt idx="6">
                  <c:v>829.5</c:v>
                </c:pt>
                <c:pt idx="7">
                  <c:v>553</c:v>
                </c:pt>
                <c:pt idx="8">
                  <c:v>2763.5</c:v>
                </c:pt>
                <c:pt idx="9">
                  <c:v>0</c:v>
                </c:pt>
                <c:pt idx="10">
                  <c:v>0</c:v>
                </c:pt>
                <c:pt idx="11">
                  <c:v>1659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3E5-4ABE-9112-AAFFBF62FE86}"/>
            </c:ext>
          </c:extLst>
        </c:ser>
        <c:ser>
          <c:idx val="1"/>
          <c:order val="1"/>
          <c:tx>
            <c:v>2024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Data'!$L$57:$L$68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Data'!$O$57:$O$68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3041.5</c:v>
                </c:pt>
                <c:pt idx="3">
                  <c:v>275</c:v>
                </c:pt>
                <c:pt idx="4">
                  <c:v>0</c:v>
                </c:pt>
                <c:pt idx="5">
                  <c:v>0</c:v>
                </c:pt>
                <c:pt idx="6">
                  <c:v>276.5</c:v>
                </c:pt>
                <c:pt idx="7">
                  <c:v>276.5</c:v>
                </c:pt>
                <c:pt idx="8">
                  <c:v>828</c:v>
                </c:pt>
                <c:pt idx="9">
                  <c:v>1659</c:v>
                </c:pt>
                <c:pt idx="10">
                  <c:v>601</c:v>
                </c:pt>
                <c:pt idx="11">
                  <c:v>901.5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3E5-4ABE-9112-AAFFBF62F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0833116"/>
        <c:axId val="376954136"/>
        <c:axId val="0"/>
      </c:bar3DChart>
      <c:catAx>
        <c:axId val="3408331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76954136"/>
        <c:crosses val="autoZero"/>
        <c:auto val="1"/>
        <c:lblAlgn val="ctr"/>
        <c:lblOffset val="100"/>
        <c:noMultiLvlLbl val="1"/>
      </c:catAx>
      <c:valAx>
        <c:axId val="3769541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083311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Level 4 Monthly Revenue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v>2024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Data'!$L$75:$L$86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Data'!$N$75:$N$86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4143</c:v>
                </c:pt>
                <c:pt idx="8">
                  <c:v>0</c:v>
                </c:pt>
                <c:pt idx="9">
                  <c:v>0</c:v>
                </c:pt>
                <c:pt idx="10">
                  <c:v>3318</c:v>
                </c:pt>
                <c:pt idx="11">
                  <c:v>275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C5A-43B5-8213-26670B7B98A0}"/>
            </c:ext>
          </c:extLst>
        </c:ser>
        <c:ser>
          <c:idx val="1"/>
          <c:order val="1"/>
          <c:tx>
            <c:v>2025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Data'!$L$75:$L$86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Data'!$O$75:$O$86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3041.5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C5A-43B5-8213-26670B7B9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5660940"/>
        <c:axId val="2138499110"/>
        <c:axId val="0"/>
      </c:bar3DChart>
      <c:catAx>
        <c:axId val="2756609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8499110"/>
        <c:crosses val="autoZero"/>
        <c:auto val="1"/>
        <c:lblAlgn val="ctr"/>
        <c:lblOffset val="100"/>
        <c:noMultiLvlLbl val="1"/>
      </c:catAx>
      <c:valAx>
        <c:axId val="2138499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566094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Level 1 Monthly Revenue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v>2023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Data'!$L$21:$L$32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Data'!$O$21:$O$32</c:f>
              <c:numCache>
                <c:formatCode>_("$"* #,##0.00_);_("$"* \(#,##0.00\);_("$"* "-"??_);_(@_)</c:formatCode>
                <c:ptCount val="12"/>
                <c:pt idx="0">
                  <c:v>3040</c:v>
                </c:pt>
                <c:pt idx="1">
                  <c:v>3871</c:v>
                </c:pt>
                <c:pt idx="2">
                  <c:v>1659</c:v>
                </c:pt>
                <c:pt idx="3">
                  <c:v>1106</c:v>
                </c:pt>
                <c:pt idx="4">
                  <c:v>3594.5</c:v>
                </c:pt>
                <c:pt idx="5">
                  <c:v>1659</c:v>
                </c:pt>
                <c:pt idx="6">
                  <c:v>4147.5</c:v>
                </c:pt>
                <c:pt idx="7">
                  <c:v>3594.5</c:v>
                </c:pt>
                <c:pt idx="8">
                  <c:v>3593</c:v>
                </c:pt>
                <c:pt idx="9">
                  <c:v>3038.5</c:v>
                </c:pt>
                <c:pt idx="10">
                  <c:v>2284</c:v>
                </c:pt>
                <c:pt idx="11">
                  <c:v>2404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902-46AF-A6A8-7AD711858859}"/>
            </c:ext>
          </c:extLst>
        </c:ser>
        <c:ser>
          <c:idx val="1"/>
          <c:order val="1"/>
          <c:tx>
            <c:v>2024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Data'!$L$21:$L$32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Data'!$P$21:$P$32</c:f>
              <c:numCache>
                <c:formatCode>_("$"* #,##0.00_);_("$"* \(#,##0.00\);_("$"* "-"??_);_(@_)</c:formatCode>
                <c:ptCount val="12"/>
                <c:pt idx="0">
                  <c:v>4207.5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902-46AF-A6A8-7AD711858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39321276"/>
        <c:axId val="939345145"/>
        <c:axId val="0"/>
      </c:bar3DChart>
      <c:catAx>
        <c:axId val="5393212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39345145"/>
        <c:crosses val="autoZero"/>
        <c:auto val="1"/>
        <c:lblAlgn val="ctr"/>
        <c:lblOffset val="100"/>
        <c:noMultiLvlLbl val="1"/>
      </c:catAx>
      <c:valAx>
        <c:axId val="939345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3932127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Level 2 Monthly Revenue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v>2024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Data'!$L$39:$L$50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Data'!$N$39:$N$50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3016.5</c:v>
                </c:pt>
                <c:pt idx="3">
                  <c:v>3041.5</c:v>
                </c:pt>
                <c:pt idx="4">
                  <c:v>0</c:v>
                </c:pt>
                <c:pt idx="5">
                  <c:v>3318</c:v>
                </c:pt>
                <c:pt idx="6">
                  <c:v>275</c:v>
                </c:pt>
                <c:pt idx="7">
                  <c:v>3318</c:v>
                </c:pt>
                <c:pt idx="8">
                  <c:v>275</c:v>
                </c:pt>
                <c:pt idx="9">
                  <c:v>0</c:v>
                </c:pt>
                <c:pt idx="10">
                  <c:v>0</c:v>
                </c:pt>
                <c:pt idx="11">
                  <c:v>2765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242-4E38-BC25-C723C0B21808}"/>
            </c:ext>
          </c:extLst>
        </c:ser>
        <c:ser>
          <c:idx val="1"/>
          <c:order val="1"/>
          <c:tx>
            <c:v>2025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Data'!$L$39:$L$50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Data'!$O$39:$O$50</c:f>
              <c:numCache>
                <c:formatCode>_("$"* #,##0.00_);_("$"* \(#,##0.00\);_("$"* "-"??_);_(@_)</c:formatCode>
                <c:ptCount val="12"/>
                <c:pt idx="0">
                  <c:v>-276.5</c:v>
                </c:pt>
                <c:pt idx="1">
                  <c:v>0</c:v>
                </c:pt>
                <c:pt idx="2">
                  <c:v>1659</c:v>
                </c:pt>
                <c:pt idx="3">
                  <c:v>-829.5</c:v>
                </c:pt>
                <c:pt idx="4">
                  <c:v>276.5</c:v>
                </c:pt>
                <c:pt idx="5">
                  <c:v>1935.5</c:v>
                </c:pt>
                <c:pt idx="6">
                  <c:v>2212</c:v>
                </c:pt>
                <c:pt idx="7">
                  <c:v>551.5</c:v>
                </c:pt>
                <c:pt idx="8">
                  <c:v>2488.5</c:v>
                </c:pt>
                <c:pt idx="9">
                  <c:v>0</c:v>
                </c:pt>
                <c:pt idx="10">
                  <c:v>1725</c:v>
                </c:pt>
                <c:pt idx="11">
                  <c:v>2712.5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242-4E38-BC25-C723C0B21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62225687"/>
        <c:axId val="1053038540"/>
        <c:axId val="0"/>
      </c:bar3DChart>
      <c:catAx>
        <c:axId val="262225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3038540"/>
        <c:crosses val="autoZero"/>
        <c:auto val="1"/>
        <c:lblAlgn val="ctr"/>
        <c:lblOffset val="100"/>
        <c:noMultiLvlLbl val="1"/>
      </c:catAx>
      <c:valAx>
        <c:axId val="1053038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222568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Level 3 Monthly Revenue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v>2024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Data'!$L$57:$L$68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Data'!$O$57:$O$68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3041.5</c:v>
                </c:pt>
                <c:pt idx="3">
                  <c:v>275</c:v>
                </c:pt>
                <c:pt idx="4">
                  <c:v>0</c:v>
                </c:pt>
                <c:pt idx="5">
                  <c:v>0</c:v>
                </c:pt>
                <c:pt idx="6">
                  <c:v>276.5</c:v>
                </c:pt>
                <c:pt idx="7">
                  <c:v>276.5</c:v>
                </c:pt>
                <c:pt idx="8">
                  <c:v>828</c:v>
                </c:pt>
                <c:pt idx="9">
                  <c:v>1659</c:v>
                </c:pt>
                <c:pt idx="10">
                  <c:v>601</c:v>
                </c:pt>
                <c:pt idx="11">
                  <c:v>901.5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08F-4D84-AE8E-8829DAD6A0C7}"/>
            </c:ext>
          </c:extLst>
        </c:ser>
        <c:ser>
          <c:idx val="1"/>
          <c:order val="1"/>
          <c:tx>
            <c:v>2025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Data'!$L$57:$L$68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Data'!$P$57:$P$68</c:f>
              <c:numCache>
                <c:formatCode>_("$"* #,##0.00_);_("$"* \(#,##0.00\);_("$"* "-"??_);_(@_)</c:formatCode>
                <c:ptCount val="12"/>
                <c:pt idx="0">
                  <c:v>1202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08F-4D84-AE8E-8829DAD6A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8279517"/>
        <c:axId val="705540280"/>
        <c:axId val="0"/>
      </c:bar3DChart>
      <c:catAx>
        <c:axId val="1438279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5540280"/>
        <c:crosses val="autoZero"/>
        <c:auto val="1"/>
        <c:lblAlgn val="ctr"/>
        <c:lblOffset val="100"/>
        <c:noMultiLvlLbl val="1"/>
      </c:catAx>
      <c:valAx>
        <c:axId val="7055402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827951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Level 4 Monthly Revenue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v>2024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Data'!$L$75:$L$86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Data'!$O$75:$O$86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3041.5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11A-4F73-808F-3A991161C2F6}"/>
            </c:ext>
          </c:extLst>
        </c:ser>
        <c:ser>
          <c:idx val="1"/>
          <c:order val="1"/>
          <c:tx>
            <c:v>2025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Data'!$L$75:$L$86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Data'!$P$75:$P$86</c:f>
              <c:numCache>
                <c:formatCode>_("$"* #,##0.00_);_("$"* \(#,##0.00\);_("$"* "-"??_);_(@_)</c:formatCode>
                <c:ptCount val="12"/>
                <c:pt idx="0">
                  <c:v>-300.5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11A-4F73-808F-3A991161C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03335416"/>
        <c:axId val="957857024"/>
        <c:axId val="0"/>
      </c:bar3DChart>
      <c:catAx>
        <c:axId val="2003335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7857024"/>
        <c:crosses val="autoZero"/>
        <c:auto val="1"/>
        <c:lblAlgn val="ctr"/>
        <c:lblOffset val="100"/>
        <c:noMultiLvlLbl val="1"/>
      </c:catAx>
      <c:valAx>
        <c:axId val="957857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333541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>
                <a:solidFill>
                  <a:srgbClr val="757575"/>
                </a:solidFill>
                <a:latin typeface="+mn-lt"/>
              </a:defRPr>
            </a:pPr>
            <a:r>
              <a:rPr sz="1400" b="0">
                <a:solidFill>
                  <a:srgbClr val="757575"/>
                </a:solidFill>
                <a:latin typeface="+mn-lt"/>
              </a:rPr>
              <a:t>Adult Classes Revenue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'Classes Chart Data'!$O$2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Data'!$L$3:$L$14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Data'!$O$3:$O$14</c:f>
              <c:numCache>
                <c:formatCode>_("$"* #,##0.00_);_("$"* \(#,##0.00\);_("$"* "-"??_);_(@_)</c:formatCode>
                <c:ptCount val="12"/>
                <c:pt idx="0">
                  <c:v>2763.5</c:v>
                </c:pt>
                <c:pt idx="1">
                  <c:v>3871</c:v>
                </c:pt>
                <c:pt idx="2">
                  <c:v>6359.5</c:v>
                </c:pt>
                <c:pt idx="3">
                  <c:v>551.5</c:v>
                </c:pt>
                <c:pt idx="4">
                  <c:v>3871</c:v>
                </c:pt>
                <c:pt idx="5">
                  <c:v>3594.5</c:v>
                </c:pt>
                <c:pt idx="6">
                  <c:v>9677.5</c:v>
                </c:pt>
                <c:pt idx="7">
                  <c:v>4422.5</c:v>
                </c:pt>
                <c:pt idx="8">
                  <c:v>6909.5</c:v>
                </c:pt>
                <c:pt idx="9">
                  <c:v>4697.5</c:v>
                </c:pt>
                <c:pt idx="10">
                  <c:v>4610</c:v>
                </c:pt>
                <c:pt idx="11">
                  <c:v>6919.5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1E8-4732-B53D-07D3CB5CD801}"/>
            </c:ext>
          </c:extLst>
        </c:ser>
        <c:ser>
          <c:idx val="1"/>
          <c:order val="1"/>
          <c:tx>
            <c:strRef>
              <c:f>'Classes Chart Data'!$P$2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Data'!$L$3:$L$14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Data'!$P$3:$P$14</c:f>
              <c:numCache>
                <c:formatCode>_("$"* #,##0.00_);_("$"* \(#,##0.00\);_("$"* "-"??_);_(@_)</c:formatCode>
                <c:ptCount val="12"/>
                <c:pt idx="0">
                  <c:v>8164.5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1E8-4732-B53D-07D3CB5CD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20283175"/>
        <c:axId val="2005420803"/>
        <c:axId val="0"/>
      </c:bar3DChart>
      <c:catAx>
        <c:axId val="1820283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5420803"/>
        <c:crosses val="autoZero"/>
        <c:auto val="1"/>
        <c:lblAlgn val="ctr"/>
        <c:lblOffset val="100"/>
        <c:noMultiLvlLbl val="1"/>
      </c:catAx>
      <c:valAx>
        <c:axId val="20054208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2028317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Adult Classes Registration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'Classes Chart Data'!$D$2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Data'!$D$3:$D$14</c:f>
              <c:numCache>
                <c:formatCode>#,##0</c:formatCode>
                <c:ptCount val="12"/>
                <c:pt idx="0">
                  <c:v>12</c:v>
                </c:pt>
                <c:pt idx="1">
                  <c:v>14</c:v>
                </c:pt>
                <c:pt idx="2">
                  <c:v>23</c:v>
                </c:pt>
                <c:pt idx="3">
                  <c:v>2</c:v>
                </c:pt>
                <c:pt idx="4">
                  <c:v>15</c:v>
                </c:pt>
                <c:pt idx="5">
                  <c:v>13</c:v>
                </c:pt>
                <c:pt idx="6">
                  <c:v>36</c:v>
                </c:pt>
                <c:pt idx="7">
                  <c:v>16</c:v>
                </c:pt>
                <c:pt idx="8">
                  <c:v>25</c:v>
                </c:pt>
                <c:pt idx="9">
                  <c:v>17</c:v>
                </c:pt>
                <c:pt idx="10">
                  <c:v>18</c:v>
                </c:pt>
                <c:pt idx="11">
                  <c:v>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248-4EA1-8479-D8984BB96CFD}"/>
            </c:ext>
          </c:extLst>
        </c:ser>
        <c:ser>
          <c:idx val="1"/>
          <c:order val="1"/>
          <c:tx>
            <c:strRef>
              <c:f>'Classes Chart Data'!$E$2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Data'!$E$3:$E$14</c:f>
              <c:numCache>
                <c:formatCode>#,##0</c:formatCode>
                <c:ptCount val="12"/>
                <c:pt idx="0">
                  <c:v>119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248-4EA1-8479-D8984BB96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4835326"/>
        <c:axId val="1078238825"/>
        <c:axId val="0"/>
      </c:bar3DChart>
      <c:catAx>
        <c:axId val="184835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78238825"/>
        <c:crosses val="autoZero"/>
        <c:auto val="1"/>
        <c:lblAlgn val="ctr"/>
        <c:lblOffset val="100"/>
        <c:noMultiLvlLbl val="1"/>
      </c:catAx>
      <c:valAx>
        <c:axId val="1078238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83532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HSI Adult Class Revenue Yearly Tracking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'Classes Chart Data'!$Z$2</c:f>
              <c:strCache>
                <c:ptCount val="1"/>
                <c:pt idx="0">
                  <c:v>2025 YTD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Data'!$X$3:$X$15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Data'!$Z$3:$Z$15</c:f>
              <c:numCache>
                <c:formatCode>_("$"* #,##0.00_);_("$"* \(#,##0.00\);_("$"* "-"??_);_(@_)</c:formatCode>
                <c:ptCount val="13"/>
                <c:pt idx="0">
                  <c:v>2763.5</c:v>
                </c:pt>
                <c:pt idx="1">
                  <c:v>6989.5</c:v>
                </c:pt>
                <c:pt idx="2">
                  <c:v>13669</c:v>
                </c:pt>
                <c:pt idx="3">
                  <c:v>14410.5</c:v>
                </c:pt>
                <c:pt idx="4">
                  <c:v>18281.5</c:v>
                </c:pt>
                <c:pt idx="5">
                  <c:v>22086</c:v>
                </c:pt>
                <c:pt idx="6">
                  <c:v>31838.5</c:v>
                </c:pt>
                <c:pt idx="7">
                  <c:v>36396</c:v>
                </c:pt>
                <c:pt idx="8">
                  <c:v>43470.5</c:v>
                </c:pt>
                <c:pt idx="9">
                  <c:v>48663</c:v>
                </c:pt>
                <c:pt idx="10">
                  <c:v>53458</c:v>
                </c:pt>
                <c:pt idx="11">
                  <c:v>61214</c:v>
                </c:pt>
                <c:pt idx="12" formatCode="0.00%">
                  <c:v>-0.17449058028670453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5EC-42A3-8649-75EE1CE69D85}"/>
            </c:ext>
          </c:extLst>
        </c:ser>
        <c:ser>
          <c:idx val="1"/>
          <c:order val="1"/>
          <c:tx>
            <c:strRef>
              <c:f>'Classes Chart Data'!$AA$2</c:f>
              <c:strCache>
                <c:ptCount val="1"/>
                <c:pt idx="0">
                  <c:v>2026 YTD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55EC-42A3-8649-75EE1CE69D85}"/>
              </c:ext>
            </c:extLst>
          </c:dPt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'Classes Chart Data'!$X$3:$X$15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Data'!$AA$3:$AA$15</c:f>
              <c:numCache>
                <c:formatCode>_("$"* #,##0.00_);_("$"* \(#,##0.00\);_("$"* "-"??_);_(@_)</c:formatCode>
                <c:ptCount val="13"/>
                <c:pt idx="0">
                  <c:v>16730.5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5EC-42A3-8649-75EE1CE69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7604280"/>
        <c:axId val="1628588310"/>
      </c:barChart>
      <c:lineChart>
        <c:grouping val="standard"/>
        <c:varyColors val="1"/>
        <c:ser>
          <c:idx val="2"/>
          <c:order val="2"/>
          <c:tx>
            <c:strRef>
              <c:f>'Classes Chart Data'!$AB$2</c:f>
              <c:strCache>
                <c:ptCount val="1"/>
                <c:pt idx="0">
                  <c:v>Target</c:v>
                </c:pt>
              </c:strCache>
            </c:strRef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strRef>
              <c:f>'Classes Chart Data'!$X$3:$X$15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Data'!$AB$3:$AB$15</c:f>
              <c:numCache>
                <c:formatCode>_("$"* #,##0.00_);_("$"* \(#,##0.00\);_("$"* "-"??_);_(@_)</c:formatCode>
                <c:ptCount val="13"/>
                <c:pt idx="0">
                  <c:v>3454.375</c:v>
                </c:pt>
                <c:pt idx="1">
                  <c:v>8736.875</c:v>
                </c:pt>
                <c:pt idx="2">
                  <c:v>17086.25</c:v>
                </c:pt>
                <c:pt idx="3">
                  <c:v>18013.125</c:v>
                </c:pt>
                <c:pt idx="4">
                  <c:v>22851.875</c:v>
                </c:pt>
                <c:pt idx="5">
                  <c:v>27607.5</c:v>
                </c:pt>
                <c:pt idx="6">
                  <c:v>39798.125</c:v>
                </c:pt>
                <c:pt idx="7">
                  <c:v>45495</c:v>
                </c:pt>
                <c:pt idx="8">
                  <c:v>54338.125</c:v>
                </c:pt>
                <c:pt idx="9">
                  <c:v>60828.75</c:v>
                </c:pt>
                <c:pt idx="10">
                  <c:v>66822.5</c:v>
                </c:pt>
                <c:pt idx="11">
                  <c:v>76517.5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EC-42A3-8649-75EE1CE69D85}"/>
            </c:ext>
          </c:extLst>
        </c:ser>
        <c:ser>
          <c:idx val="3"/>
          <c:order val="3"/>
          <c:tx>
            <c:strRef>
              <c:f>'Classes Chart Data'!$AC$2</c:f>
              <c:strCache>
                <c:ptCount val="1"/>
                <c:pt idx="0">
                  <c:v>Stretch</c:v>
                </c:pt>
              </c:strCache>
            </c:strRef>
          </c:tx>
          <c:spPr>
            <a:ln cmpd="sng">
              <a:solidFill>
                <a:srgbClr val="0F9ED5"/>
              </a:solidFill>
            </a:ln>
          </c:spPr>
          <c:marker>
            <c:symbol val="none"/>
          </c:marker>
          <c:cat>
            <c:strRef>
              <c:f>'Classes Chart Data'!$X$3:$X$15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Data'!$AC$3:$AC$14</c:f>
              <c:numCache>
                <c:formatCode>_("$"* #,##0.00_);_("$"* \(#,##0.00\);_("$"* "-"??_);_(@_)</c:formatCode>
                <c:ptCount val="12"/>
                <c:pt idx="0">
                  <c:v>3868.9</c:v>
                </c:pt>
                <c:pt idx="1">
                  <c:v>9785.2999999999993</c:v>
                </c:pt>
                <c:pt idx="2">
                  <c:v>19136.599999999999</c:v>
                </c:pt>
                <c:pt idx="3">
                  <c:v>20174.7</c:v>
                </c:pt>
                <c:pt idx="4">
                  <c:v>25594.1</c:v>
                </c:pt>
                <c:pt idx="5">
                  <c:v>30920.400000000001</c:v>
                </c:pt>
                <c:pt idx="6">
                  <c:v>44573.9</c:v>
                </c:pt>
                <c:pt idx="7">
                  <c:v>50954.400000000001</c:v>
                </c:pt>
                <c:pt idx="8">
                  <c:v>60858.7</c:v>
                </c:pt>
                <c:pt idx="9">
                  <c:v>68128.2</c:v>
                </c:pt>
                <c:pt idx="10">
                  <c:v>74841.2</c:v>
                </c:pt>
                <c:pt idx="11">
                  <c:v>85699.6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EC-42A3-8649-75EE1CE69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7604280"/>
        <c:axId val="1628588310"/>
      </c:lineChart>
      <c:catAx>
        <c:axId val="1627604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8588310"/>
        <c:crosses val="autoZero"/>
        <c:auto val="1"/>
        <c:lblAlgn val="ctr"/>
        <c:lblOffset val="100"/>
        <c:noMultiLvlLbl val="1"/>
      </c:catAx>
      <c:valAx>
        <c:axId val="1628588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760428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Adult Classes Quarterly Revenue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'Classes Chart Data'!$AN$2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Data'!$AK$3:$AK$6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'Classes Chart Data'!$AN$3:$AN$6</c:f>
              <c:numCache>
                <c:formatCode>_("$"* #,##0.00_);_("$"* \(#,##0.00\);_("$"* "-"??_);_(@_)</c:formatCode>
                <c:ptCount val="4"/>
                <c:pt idx="0">
                  <c:v>12994</c:v>
                </c:pt>
                <c:pt idx="1">
                  <c:v>8017</c:v>
                </c:pt>
                <c:pt idx="2">
                  <c:v>21009.5</c:v>
                </c:pt>
                <c:pt idx="3">
                  <c:v>16227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71-45C0-A582-F57E8263E2F9}"/>
            </c:ext>
          </c:extLst>
        </c:ser>
        <c:ser>
          <c:idx val="1"/>
          <c:order val="1"/>
          <c:tx>
            <c:strRef>
              <c:f>'Classes Chart Data'!$AO$2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Data'!$AK$3:$AK$6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'Classes Chart Data'!$AO$3:$AO$6</c:f>
              <c:numCache>
                <c:formatCode>_("$"* #,##0.00_);_("$"* \(#,##0.00\);_("$"* "-"??_);_(@_)</c:formatCode>
                <c:ptCount val="4"/>
                <c:pt idx="0">
                  <c:v>8164.5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871-45C0-A582-F57E8263E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39407454"/>
        <c:axId val="1316907064"/>
        <c:axId val="0"/>
      </c:bar3DChart>
      <c:catAx>
        <c:axId val="1739407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16907064"/>
        <c:crosses val="autoZero"/>
        <c:auto val="1"/>
        <c:lblAlgn val="ctr"/>
        <c:lblOffset val="100"/>
        <c:noMultiLvlLbl val="1"/>
      </c:catAx>
      <c:valAx>
        <c:axId val="13169070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940745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Level 1 Registration Count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'Classes Chart Data'!$D$20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Data'!$A$21:$A$32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Data'!$D$21:$D$32</c:f>
              <c:numCache>
                <c:formatCode>#,##0</c:formatCode>
                <c:ptCount val="12"/>
                <c:pt idx="0">
                  <c:v>12</c:v>
                </c:pt>
                <c:pt idx="1">
                  <c:v>14</c:v>
                </c:pt>
                <c:pt idx="2">
                  <c:v>6</c:v>
                </c:pt>
                <c:pt idx="3">
                  <c:v>4</c:v>
                </c:pt>
                <c:pt idx="4">
                  <c:v>13</c:v>
                </c:pt>
                <c:pt idx="5">
                  <c:v>6</c:v>
                </c:pt>
                <c:pt idx="6">
                  <c:v>15</c:v>
                </c:pt>
                <c:pt idx="7">
                  <c:v>13</c:v>
                </c:pt>
                <c:pt idx="8">
                  <c:v>13</c:v>
                </c:pt>
                <c:pt idx="9">
                  <c:v>11</c:v>
                </c:pt>
                <c:pt idx="10">
                  <c:v>9</c:v>
                </c:pt>
                <c:pt idx="11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2C9-4982-B1F3-658A8D6F9DD0}"/>
            </c:ext>
          </c:extLst>
        </c:ser>
        <c:ser>
          <c:idx val="1"/>
          <c:order val="1"/>
          <c:tx>
            <c:strRef>
              <c:f>'Classes Chart Data'!$E$20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Data'!$A$21:$A$32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Data'!$E$21:$E$32</c:f>
              <c:numCache>
                <c:formatCode>#,##0</c:formatCode>
                <c:ptCount val="12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2C9-4982-B1F3-658A8D6F9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19675538"/>
        <c:axId val="943655065"/>
        <c:axId val="0"/>
      </c:bar3DChart>
      <c:catAx>
        <c:axId val="8196755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3655065"/>
        <c:crosses val="autoZero"/>
        <c:auto val="1"/>
        <c:lblAlgn val="ctr"/>
        <c:lblOffset val="100"/>
        <c:noMultiLvlLbl val="1"/>
      </c:catAx>
      <c:valAx>
        <c:axId val="9436550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967553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Level 2 Registration Count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'Classes Chart Data'!$D$38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Data'!$A$39:$A$50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Data'!$D$39:$D$50</c:f>
              <c:numCache>
                <c:formatCode>#,##0</c:formatCode>
                <c:ptCount val="12"/>
                <c:pt idx="0">
                  <c:v>-1</c:v>
                </c:pt>
                <c:pt idx="1">
                  <c:v>0</c:v>
                </c:pt>
                <c:pt idx="2">
                  <c:v>6</c:v>
                </c:pt>
                <c:pt idx="3">
                  <c:v>-3</c:v>
                </c:pt>
                <c:pt idx="4">
                  <c:v>2</c:v>
                </c:pt>
                <c:pt idx="5">
                  <c:v>7</c:v>
                </c:pt>
                <c:pt idx="6">
                  <c:v>8</c:v>
                </c:pt>
                <c:pt idx="7">
                  <c:v>2</c:v>
                </c:pt>
                <c:pt idx="8">
                  <c:v>9</c:v>
                </c:pt>
                <c:pt idx="9">
                  <c:v>0</c:v>
                </c:pt>
                <c:pt idx="10">
                  <c:v>7</c:v>
                </c:pt>
                <c:pt idx="11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548-478B-BD54-C9CD6A3D87FB}"/>
            </c:ext>
          </c:extLst>
        </c:ser>
        <c:ser>
          <c:idx val="1"/>
          <c:order val="1"/>
          <c:tx>
            <c:strRef>
              <c:f>'Classes Chart Data'!$E$38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Data'!$A$39:$A$50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Data'!$E$39:$E$50</c:f>
              <c:numCache>
                <c:formatCode>#,##0</c:formatCode>
                <c:ptCount val="12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548-478B-BD54-C9CD6A3D8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99530410"/>
        <c:axId val="954711636"/>
        <c:axId val="0"/>
      </c:bar3DChart>
      <c:catAx>
        <c:axId val="2099530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4711636"/>
        <c:crosses val="autoZero"/>
        <c:auto val="1"/>
        <c:lblAlgn val="ctr"/>
        <c:lblOffset val="100"/>
        <c:noMultiLvlLbl val="1"/>
      </c:catAx>
      <c:valAx>
        <c:axId val="9547116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953041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Level 3 Registration Count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'Classes Chart Data'!$D$56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Data'!$A$57:$A$68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Data'!$D$57:$D$68</c:f>
              <c:numCache>
                <c:formatCode>#,##0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6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375-4F1F-B5AC-763854912FF3}"/>
            </c:ext>
          </c:extLst>
        </c:ser>
        <c:ser>
          <c:idx val="1"/>
          <c:order val="1"/>
          <c:tx>
            <c:strRef>
              <c:f>'Classes Chart Data'!$E$56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Data'!$A$57:$A$68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Data'!$E$57:$E$68</c:f>
              <c:numCache>
                <c:formatCode>#,##0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375-4F1F-B5AC-763854912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04130616"/>
        <c:axId val="2019713524"/>
        <c:axId val="0"/>
      </c:bar3DChart>
      <c:catAx>
        <c:axId val="304130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9713524"/>
        <c:crosses val="autoZero"/>
        <c:auto val="1"/>
        <c:lblAlgn val="ctr"/>
        <c:lblOffset val="100"/>
        <c:noMultiLvlLbl val="1"/>
      </c:catAx>
      <c:valAx>
        <c:axId val="20197135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413061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Level 4 Registration Count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'Classes Chart Data'!$D$74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Data'!$A$75:$A$86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Data'!$D$75:$D$86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DB6-47AF-97B5-4384955C9018}"/>
            </c:ext>
          </c:extLst>
        </c:ser>
        <c:ser>
          <c:idx val="1"/>
          <c:order val="1"/>
          <c:tx>
            <c:strRef>
              <c:f>'Classes Chart Data'!$E$74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Data'!$A$75:$A$86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Data'!$E$75:$E$86</c:f>
              <c:numCache>
                <c:formatCode>#,##0</c:formatCode>
                <c:ptCount val="12"/>
                <c:pt idx="0">
                  <c:v>-1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DB6-47AF-97B5-4384955C9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40281032"/>
        <c:axId val="1687489314"/>
        <c:axId val="0"/>
      </c:bar3DChart>
      <c:catAx>
        <c:axId val="540281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7489314"/>
        <c:crosses val="autoZero"/>
        <c:auto val="1"/>
        <c:lblAlgn val="ctr"/>
        <c:lblOffset val="100"/>
        <c:noMultiLvlLbl val="1"/>
      </c:catAx>
      <c:valAx>
        <c:axId val="16874893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028103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Adult Classes Total Registrations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'Classes Chart Data'!$AN$20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Data'!$AK$21:$AK$24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'Classes Chart Data'!$AN$21:$AN$24</c:f>
              <c:numCache>
                <c:formatCode>#,##0</c:formatCode>
                <c:ptCount val="4"/>
                <c:pt idx="0">
                  <c:v>49</c:v>
                </c:pt>
                <c:pt idx="1">
                  <c:v>30</c:v>
                </c:pt>
                <c:pt idx="2">
                  <c:v>77</c:v>
                </c:pt>
                <c:pt idx="3">
                  <c:v>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39B-45D0-8CAC-50805AAF927A}"/>
            </c:ext>
          </c:extLst>
        </c:ser>
        <c:ser>
          <c:idx val="1"/>
          <c:order val="1"/>
          <c:tx>
            <c:strRef>
              <c:f>'Classes Chart Data'!$AO$20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Data'!$AK$21:$AK$24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'Classes Chart Data'!$AO$21:$AO$24</c:f>
              <c:numCache>
                <c:formatCode>#,##0</c:formatCode>
                <c:ptCount val="4"/>
                <c:pt idx="0">
                  <c:v>119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39B-45D0-8CAC-50805AAF9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34799195"/>
        <c:axId val="980008766"/>
        <c:axId val="0"/>
      </c:bar3DChart>
      <c:catAx>
        <c:axId val="2134799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0008766"/>
        <c:crosses val="autoZero"/>
        <c:auto val="1"/>
        <c:lblAlgn val="ctr"/>
        <c:lblOffset val="100"/>
        <c:noMultiLvlLbl val="1"/>
      </c:catAx>
      <c:valAx>
        <c:axId val="9800087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479919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Adult Classes YTD Registrations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'Classes Chart Data'!$Z$37</c:f>
              <c:strCache>
                <c:ptCount val="1"/>
                <c:pt idx="0">
                  <c:v>2025 YTD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Data'!$X$38:$X$50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Data'!$Z$38:$Z$50</c:f>
              <c:numCache>
                <c:formatCode>#,##0</c:formatCode>
                <c:ptCount val="13"/>
                <c:pt idx="0">
                  <c:v>12</c:v>
                </c:pt>
                <c:pt idx="1">
                  <c:v>26</c:v>
                </c:pt>
                <c:pt idx="2">
                  <c:v>49</c:v>
                </c:pt>
                <c:pt idx="3">
                  <c:v>51</c:v>
                </c:pt>
                <c:pt idx="4">
                  <c:v>66</c:v>
                </c:pt>
                <c:pt idx="5">
                  <c:v>79</c:v>
                </c:pt>
                <c:pt idx="6">
                  <c:v>115</c:v>
                </c:pt>
                <c:pt idx="7">
                  <c:v>131</c:v>
                </c:pt>
                <c:pt idx="8">
                  <c:v>156</c:v>
                </c:pt>
                <c:pt idx="9">
                  <c:v>173</c:v>
                </c:pt>
                <c:pt idx="10">
                  <c:v>191</c:v>
                </c:pt>
                <c:pt idx="11">
                  <c:v>214</c:v>
                </c:pt>
                <c:pt idx="12" formatCode="0.00%">
                  <c:v>-0.1822429906542056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41E-489E-9E29-85B0A2A4CD0E}"/>
            </c:ext>
          </c:extLst>
        </c:ser>
        <c:ser>
          <c:idx val="1"/>
          <c:order val="1"/>
          <c:tx>
            <c:strRef>
              <c:f>'Classes Chart Data'!$AA$37</c:f>
              <c:strCache>
                <c:ptCount val="1"/>
                <c:pt idx="0">
                  <c:v>2026 YTD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'Classes Chart Data'!$X$38:$X$50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Data'!$AA$38:$AA$50</c:f>
              <c:numCache>
                <c:formatCode>#,##0</c:formatCode>
                <c:ptCount val="13"/>
                <c:pt idx="0">
                  <c:v>119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41E-489E-9E29-85B0A2A4C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641181"/>
        <c:axId val="1545422432"/>
      </c:barChart>
      <c:lineChart>
        <c:grouping val="standard"/>
        <c:varyColors val="0"/>
        <c:ser>
          <c:idx val="2"/>
          <c:order val="2"/>
          <c:tx>
            <c:strRef>
              <c:f>'Classes Chart Data'!$AB$37</c:f>
              <c:strCache>
                <c:ptCount val="1"/>
                <c:pt idx="0">
                  <c:v>Target</c:v>
                </c:pt>
              </c:strCache>
            </c:strRef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strRef>
              <c:f>'Classes Chart Data'!$X$38:$X$50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'Classes Chart Data'!$AB$38:$AB$50</c:f>
              <c:numCache>
                <c:formatCode>#,##0</c:formatCode>
                <c:ptCount val="13"/>
                <c:pt idx="0">
                  <c:v>15</c:v>
                </c:pt>
                <c:pt idx="1">
                  <c:v>32.5</c:v>
                </c:pt>
                <c:pt idx="2">
                  <c:v>61.25</c:v>
                </c:pt>
                <c:pt idx="3">
                  <c:v>63.75</c:v>
                </c:pt>
                <c:pt idx="4">
                  <c:v>82.5</c:v>
                </c:pt>
                <c:pt idx="5">
                  <c:v>98.75</c:v>
                </c:pt>
                <c:pt idx="6">
                  <c:v>143.75</c:v>
                </c:pt>
                <c:pt idx="7">
                  <c:v>163.75</c:v>
                </c:pt>
                <c:pt idx="8">
                  <c:v>195</c:v>
                </c:pt>
                <c:pt idx="9">
                  <c:v>216.25</c:v>
                </c:pt>
                <c:pt idx="10">
                  <c:v>238.75</c:v>
                </c:pt>
                <c:pt idx="11">
                  <c:v>267.5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1E-489E-9E29-85B0A2A4C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641181"/>
        <c:axId val="1545422432"/>
      </c:lineChart>
      <c:catAx>
        <c:axId val="2246411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5422432"/>
        <c:crosses val="autoZero"/>
        <c:auto val="1"/>
        <c:lblAlgn val="ctr"/>
        <c:lblOffset val="100"/>
        <c:noMultiLvlLbl val="1"/>
      </c:catAx>
      <c:valAx>
        <c:axId val="154542243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464118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HSI Total Revenue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Sheet2!$B$2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Sheet2!$A$3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Sheet2!$B$3</c:f>
              <c:numCache>
                <c:formatCode>_("$"* #,##0.00_);_("$"* \(#,##0.00\);_("$"* "-"??_);_(@_)</c:formatCode>
                <c:ptCount val="1"/>
                <c:pt idx="0">
                  <c:v>9676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7C-400E-8130-FE818D0DD892}"/>
            </c:ext>
          </c:extLst>
        </c:ser>
        <c:ser>
          <c:idx val="1"/>
          <c:order val="1"/>
          <c:tx>
            <c:strRef>
              <c:f>Sheet2!$C$2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Sheet2!$A$3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Sheet2!$C$3</c:f>
              <c:numCache>
                <c:formatCode>_("$"* #,##0.00_);_("$"* \(#,##0.00\);_("$"* "-"??_);_(@_)</c:formatCode>
                <c:ptCount val="1"/>
                <c:pt idx="0">
                  <c:v>5348.5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F7C-400E-8130-FE818D0DD892}"/>
            </c:ext>
          </c:extLst>
        </c:ser>
        <c:ser>
          <c:idx val="2"/>
          <c:order val="2"/>
          <c:tx>
            <c:strRef>
              <c:f>Sheet2!$D$2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Sheet2!$A$3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Sheet2!$D$3</c:f>
              <c:numCache>
                <c:formatCode>_("$"* #,##0.00_);_("$"* \(#,##0.00\);_("$"* "-"??_);_(@_)</c:formatCode>
                <c:ptCount val="1"/>
                <c:pt idx="0">
                  <c:v>2763.5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F7C-400E-8130-FE818D0DD892}"/>
            </c:ext>
          </c:extLst>
        </c:ser>
        <c:ser>
          <c:idx val="3"/>
          <c:order val="3"/>
          <c:tx>
            <c:strRef>
              <c:f>Sheet2!$E$2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Sheet2!$A$3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Sheet2!$E$3</c:f>
              <c:numCache>
                <c:formatCode>_("$"* #,##0.00_);_("$"* \(#,##0.00\);_("$"* "-"??_);_(@_)</c:formatCode>
                <c:ptCount val="1"/>
                <c:pt idx="0">
                  <c:v>16730.5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F7C-400E-8130-FE818D0DD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89788768"/>
        <c:axId val="1370055115"/>
        <c:axId val="0"/>
      </c:bar3DChart>
      <c:catAx>
        <c:axId val="28978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0055115"/>
        <c:crosses val="autoZero"/>
        <c:auto val="1"/>
        <c:lblAlgn val="ctr"/>
        <c:lblOffset val="100"/>
        <c:noMultiLvlLbl val="1"/>
      </c:catAx>
      <c:valAx>
        <c:axId val="13700551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Jan</a:t>
                </a:r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978876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chart" Target="../charts/chart17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Relationship Id="rId14" Type="http://schemas.openxmlformats.org/officeDocument/2006/relationships/chart" Target="../charts/chart1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905375" cy="2695575"/>
    <xdr:graphicFrame macro="">
      <xdr:nvGraphicFramePr>
        <xdr:cNvPr id="1908842342" name="Chart 1" title="Chart">
          <a:extLst>
            <a:ext uri="{FF2B5EF4-FFF2-40B4-BE49-F238E27FC236}">
              <a16:creationId xmlns:a16="http://schemas.microsoft.com/office/drawing/2014/main" id="{00000000-0008-0000-0000-0000669FC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285750</xdr:colOff>
      <xdr:row>0</xdr:row>
      <xdr:rowOff>0</xdr:rowOff>
    </xdr:from>
    <xdr:ext cx="4905375" cy="2695575"/>
    <xdr:graphicFrame macro="">
      <xdr:nvGraphicFramePr>
        <xdr:cNvPr id="1306874087" name="Chart 2" title="Chart">
          <a:extLst>
            <a:ext uri="{FF2B5EF4-FFF2-40B4-BE49-F238E27FC236}">
              <a16:creationId xmlns:a16="http://schemas.microsoft.com/office/drawing/2014/main" id="{00000000-0008-0000-0000-0000E750E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14</xdr:row>
      <xdr:rowOff>171450</xdr:rowOff>
    </xdr:from>
    <xdr:ext cx="4905375" cy="2752725"/>
    <xdr:graphicFrame macro="">
      <xdr:nvGraphicFramePr>
        <xdr:cNvPr id="401246494" name="Chart 3" title="Chart">
          <a:extLst>
            <a:ext uri="{FF2B5EF4-FFF2-40B4-BE49-F238E27FC236}">
              <a16:creationId xmlns:a16="http://schemas.microsoft.com/office/drawing/2014/main" id="{00000000-0008-0000-0000-00001E89E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7</xdr:col>
      <xdr:colOff>304800</xdr:colOff>
      <xdr:row>14</xdr:row>
      <xdr:rowOff>161925</xdr:rowOff>
    </xdr:from>
    <xdr:ext cx="4962525" cy="2752725"/>
    <xdr:graphicFrame macro="">
      <xdr:nvGraphicFramePr>
        <xdr:cNvPr id="542781923" name="Chart 4" title="Chart">
          <a:extLst>
            <a:ext uri="{FF2B5EF4-FFF2-40B4-BE49-F238E27FC236}">
              <a16:creationId xmlns:a16="http://schemas.microsoft.com/office/drawing/2014/main" id="{00000000-0008-0000-0000-0000E3315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19050</xdr:colOff>
      <xdr:row>18</xdr:row>
      <xdr:rowOff>0</xdr:rowOff>
    </xdr:from>
    <xdr:ext cx="4905375" cy="2695575"/>
    <xdr:graphicFrame macro="">
      <xdr:nvGraphicFramePr>
        <xdr:cNvPr id="2064572142" name="Chart 5" title="Chart">
          <a:extLst>
            <a:ext uri="{FF2B5EF4-FFF2-40B4-BE49-F238E27FC236}">
              <a16:creationId xmlns:a16="http://schemas.microsoft.com/office/drawing/2014/main" id="{00000000-0008-0000-0100-0000EEDE0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17</xdr:col>
      <xdr:colOff>19050</xdr:colOff>
      <xdr:row>35</xdr:row>
      <xdr:rowOff>171450</xdr:rowOff>
    </xdr:from>
    <xdr:ext cx="4905375" cy="2695575"/>
    <xdr:graphicFrame macro="">
      <xdr:nvGraphicFramePr>
        <xdr:cNvPr id="1312352347" name="Chart 6" title="Chart">
          <a:extLst>
            <a:ext uri="{FF2B5EF4-FFF2-40B4-BE49-F238E27FC236}">
              <a16:creationId xmlns:a16="http://schemas.microsoft.com/office/drawing/2014/main" id="{00000000-0008-0000-0100-00005BE83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17</xdr:col>
      <xdr:colOff>19050</xdr:colOff>
      <xdr:row>53</xdr:row>
      <xdr:rowOff>152400</xdr:rowOff>
    </xdr:from>
    <xdr:ext cx="4905375" cy="2752725"/>
    <xdr:graphicFrame macro="">
      <xdr:nvGraphicFramePr>
        <xdr:cNvPr id="1291275792" name="Chart 7" title="Chart">
          <a:extLst>
            <a:ext uri="{FF2B5EF4-FFF2-40B4-BE49-F238E27FC236}">
              <a16:creationId xmlns:a16="http://schemas.microsoft.com/office/drawing/2014/main" id="{00000000-0008-0000-0100-0000104EF7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17</xdr:col>
      <xdr:colOff>19050</xdr:colOff>
      <xdr:row>72</xdr:row>
      <xdr:rowOff>0</xdr:rowOff>
    </xdr:from>
    <xdr:ext cx="4962525" cy="2752725"/>
    <xdr:graphicFrame macro="">
      <xdr:nvGraphicFramePr>
        <xdr:cNvPr id="242970553" name="Chart 8" title="Chart">
          <a:extLst>
            <a:ext uri="{FF2B5EF4-FFF2-40B4-BE49-F238E27FC236}">
              <a16:creationId xmlns:a16="http://schemas.microsoft.com/office/drawing/2014/main" id="{00000000-0008-0000-0100-0000B96F7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17</xdr:col>
      <xdr:colOff>19050</xdr:colOff>
      <xdr:row>0</xdr:row>
      <xdr:rowOff>0</xdr:rowOff>
    </xdr:from>
    <xdr:ext cx="4905375" cy="3028950"/>
    <xdr:graphicFrame macro="">
      <xdr:nvGraphicFramePr>
        <xdr:cNvPr id="1445155181" name="Chart 9" title="Chart">
          <a:extLst>
            <a:ext uri="{FF2B5EF4-FFF2-40B4-BE49-F238E27FC236}">
              <a16:creationId xmlns:a16="http://schemas.microsoft.com/office/drawing/2014/main" id="{00000000-0008-0000-0100-00006D512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5</xdr:col>
      <xdr:colOff>476250</xdr:colOff>
      <xdr:row>0</xdr:row>
      <xdr:rowOff>0</xdr:rowOff>
    </xdr:from>
    <xdr:ext cx="4905375" cy="3028950"/>
    <xdr:graphicFrame macro="">
      <xdr:nvGraphicFramePr>
        <xdr:cNvPr id="997141486" name="Chart 10" title="Chart">
          <a:extLst>
            <a:ext uri="{FF2B5EF4-FFF2-40B4-BE49-F238E27FC236}">
              <a16:creationId xmlns:a16="http://schemas.microsoft.com/office/drawing/2014/main" id="{00000000-0008-0000-0100-0000EE2B6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29</xdr:col>
      <xdr:colOff>952500</xdr:colOff>
      <xdr:row>0</xdr:row>
      <xdr:rowOff>0</xdr:rowOff>
    </xdr:from>
    <xdr:ext cx="4867275" cy="3028950"/>
    <xdr:graphicFrame macro="">
      <xdr:nvGraphicFramePr>
        <xdr:cNvPr id="1230273186" name="Chart 11" title="Chart">
          <a:extLst>
            <a:ext uri="{FF2B5EF4-FFF2-40B4-BE49-F238E27FC236}">
              <a16:creationId xmlns:a16="http://schemas.microsoft.com/office/drawing/2014/main" id="{00000000-0008-0000-0100-0000A27A5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41</xdr:col>
      <xdr:colOff>876300</xdr:colOff>
      <xdr:row>0</xdr:row>
      <xdr:rowOff>0</xdr:rowOff>
    </xdr:from>
    <xdr:ext cx="4867275" cy="3028950"/>
    <xdr:graphicFrame macro="">
      <xdr:nvGraphicFramePr>
        <xdr:cNvPr id="653183801" name="Chart 12" title="Chart">
          <a:extLst>
            <a:ext uri="{FF2B5EF4-FFF2-40B4-BE49-F238E27FC236}">
              <a16:creationId xmlns:a16="http://schemas.microsoft.com/office/drawing/2014/main" id="{00000000-0008-0000-0100-000039CBE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5</xdr:col>
      <xdr:colOff>857250</xdr:colOff>
      <xdr:row>18</xdr:row>
      <xdr:rowOff>0</xdr:rowOff>
    </xdr:from>
    <xdr:ext cx="4905375" cy="3028950"/>
    <xdr:graphicFrame macro="">
      <xdr:nvGraphicFramePr>
        <xdr:cNvPr id="1490702207" name="Chart 13" title="Chart">
          <a:extLst>
            <a:ext uri="{FF2B5EF4-FFF2-40B4-BE49-F238E27FC236}">
              <a16:creationId xmlns:a16="http://schemas.microsoft.com/office/drawing/2014/main" id="{00000000-0008-0000-0100-00007F4FD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5</xdr:col>
      <xdr:colOff>476250</xdr:colOff>
      <xdr:row>36</xdr:row>
      <xdr:rowOff>0</xdr:rowOff>
    </xdr:from>
    <xdr:ext cx="4905375" cy="3028950"/>
    <xdr:graphicFrame macro="">
      <xdr:nvGraphicFramePr>
        <xdr:cNvPr id="751003494" name="Chart 14" title="Chart">
          <a:extLst>
            <a:ext uri="{FF2B5EF4-FFF2-40B4-BE49-F238E27FC236}">
              <a16:creationId xmlns:a16="http://schemas.microsoft.com/office/drawing/2014/main" id="{00000000-0008-0000-0100-00006667C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5</xdr:col>
      <xdr:colOff>476250</xdr:colOff>
      <xdr:row>54</xdr:row>
      <xdr:rowOff>0</xdr:rowOff>
    </xdr:from>
    <xdr:ext cx="4867275" cy="3028950"/>
    <xdr:graphicFrame macro="">
      <xdr:nvGraphicFramePr>
        <xdr:cNvPr id="1755096351" name="Chart 15" title="Chart">
          <a:extLst>
            <a:ext uri="{FF2B5EF4-FFF2-40B4-BE49-F238E27FC236}">
              <a16:creationId xmlns:a16="http://schemas.microsoft.com/office/drawing/2014/main" id="{00000000-0008-0000-0100-00001FA59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5</xdr:col>
      <xdr:colOff>476250</xdr:colOff>
      <xdr:row>72</xdr:row>
      <xdr:rowOff>0</xdr:rowOff>
    </xdr:from>
    <xdr:ext cx="4905375" cy="3028950"/>
    <xdr:graphicFrame macro="">
      <xdr:nvGraphicFramePr>
        <xdr:cNvPr id="193326836" name="Chart 16" title="Chart">
          <a:extLst>
            <a:ext uri="{FF2B5EF4-FFF2-40B4-BE49-F238E27FC236}">
              <a16:creationId xmlns:a16="http://schemas.microsoft.com/office/drawing/2014/main" id="{00000000-0008-0000-0100-0000F4EE8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41</xdr:col>
      <xdr:colOff>876300</xdr:colOff>
      <xdr:row>17</xdr:row>
      <xdr:rowOff>85725</xdr:rowOff>
    </xdr:from>
    <xdr:ext cx="4867275" cy="3028950"/>
    <xdr:graphicFrame macro="">
      <xdr:nvGraphicFramePr>
        <xdr:cNvPr id="1163284471" name="Chart 17" title="Chart">
          <a:extLst>
            <a:ext uri="{FF2B5EF4-FFF2-40B4-BE49-F238E27FC236}">
              <a16:creationId xmlns:a16="http://schemas.microsoft.com/office/drawing/2014/main" id="{00000000-0008-0000-0100-0000F74F5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29</xdr:col>
      <xdr:colOff>952500</xdr:colOff>
      <xdr:row>35</xdr:row>
      <xdr:rowOff>0</xdr:rowOff>
    </xdr:from>
    <xdr:ext cx="4381500" cy="2695575"/>
    <xdr:graphicFrame macro="">
      <xdr:nvGraphicFramePr>
        <xdr:cNvPr id="1260571072" name="Chart 18" title="Chart">
          <a:extLst>
            <a:ext uri="{FF2B5EF4-FFF2-40B4-BE49-F238E27FC236}">
              <a16:creationId xmlns:a16="http://schemas.microsoft.com/office/drawing/2014/main" id="{00000000-0008-0000-0100-0000C0C92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5</xdr:row>
      <xdr:rowOff>133350</xdr:rowOff>
    </xdr:from>
    <xdr:ext cx="5715000" cy="3533775"/>
    <xdr:graphicFrame macro="">
      <xdr:nvGraphicFramePr>
        <xdr:cNvPr id="2090119087" name="Chart 19" title="Chart">
          <a:extLst>
            <a:ext uri="{FF2B5EF4-FFF2-40B4-BE49-F238E27FC236}">
              <a16:creationId xmlns:a16="http://schemas.microsoft.com/office/drawing/2014/main" id="{00000000-0008-0000-0200-0000AFAF9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Q1:T1000"/>
  <sheetViews>
    <sheetView workbookViewId="0"/>
  </sheetViews>
  <sheetFormatPr defaultColWidth="12.6640625" defaultRowHeight="15" customHeight="1"/>
  <cols>
    <col min="1" max="26" width="8.6640625" customWidth="1"/>
  </cols>
  <sheetData>
    <row r="1" spans="17:20" ht="14.25" customHeight="1"/>
    <row r="2" spans="17:20" ht="14.25" customHeight="1"/>
    <row r="3" spans="17:20" ht="14.25" customHeight="1"/>
    <row r="4" spans="17:20" ht="14.25" customHeight="1"/>
    <row r="5" spans="17:20" ht="14.25" customHeight="1"/>
    <row r="6" spans="17:20" ht="14.25" customHeight="1">
      <c r="Q6" s="1" t="s">
        <v>0</v>
      </c>
    </row>
    <row r="7" spans="17:20" ht="14.25" customHeight="1">
      <c r="Q7" s="1">
        <v>1</v>
      </c>
      <c r="R7" s="1" t="s">
        <v>1</v>
      </c>
    </row>
    <row r="8" spans="17:20" ht="14.25" customHeight="1">
      <c r="Q8" s="1">
        <v>2</v>
      </c>
      <c r="R8" s="1" t="s">
        <v>2</v>
      </c>
    </row>
    <row r="9" spans="17:20" ht="14.25" customHeight="1">
      <c r="Q9" s="1">
        <v>3</v>
      </c>
      <c r="R9" s="1" t="s">
        <v>3</v>
      </c>
    </row>
    <row r="10" spans="17:20" ht="14.25" customHeight="1"/>
    <row r="11" spans="17:20" ht="14.25" customHeight="1"/>
    <row r="12" spans="17:20" ht="14.25" customHeight="1"/>
    <row r="13" spans="17:20" ht="14.25" customHeight="1">
      <c r="S13" s="1" t="s">
        <v>4</v>
      </c>
      <c r="T13" s="1">
        <v>92</v>
      </c>
    </row>
    <row r="14" spans="17:20" ht="14.25" customHeight="1">
      <c r="S14" s="1" t="s">
        <v>5</v>
      </c>
      <c r="T14" s="1">
        <v>30</v>
      </c>
    </row>
    <row r="15" spans="17:20" ht="14.25" customHeight="1">
      <c r="S15" s="1" t="s">
        <v>6</v>
      </c>
      <c r="T15" s="1">
        <v>45</v>
      </c>
    </row>
    <row r="16" spans="17:20" ht="14.25" customHeight="1">
      <c r="S16" s="1" t="s">
        <v>7</v>
      </c>
      <c r="T16" s="1">
        <v>70</v>
      </c>
    </row>
    <row r="17" spans="19:20" ht="14.25" customHeight="1">
      <c r="S17" s="1" t="s">
        <v>8</v>
      </c>
      <c r="T17" s="1">
        <v>25</v>
      </c>
    </row>
    <row r="18" spans="19:20" ht="14.25" customHeight="1"/>
    <row r="19" spans="19:20" ht="14.25" customHeight="1"/>
    <row r="20" spans="19:20" ht="14.25" customHeight="1"/>
    <row r="21" spans="19:20" ht="14.25" customHeight="1"/>
    <row r="22" spans="19:20" ht="14.25" customHeight="1"/>
    <row r="23" spans="19:20" ht="14.25" customHeight="1"/>
    <row r="24" spans="19:20" ht="14.25" customHeight="1"/>
    <row r="25" spans="19:20" ht="14.25" customHeight="1"/>
    <row r="26" spans="19:20" ht="14.25" customHeight="1"/>
    <row r="27" spans="19:20" ht="14.25" customHeight="1"/>
    <row r="28" spans="19:20" ht="14.25" customHeight="1"/>
    <row r="29" spans="19:20" ht="14.25" customHeight="1"/>
    <row r="30" spans="19:20" ht="14.25" customHeight="1"/>
    <row r="31" spans="19:20" ht="14.25" customHeight="1"/>
    <row r="32" spans="19:2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U104"/>
  <sheetViews>
    <sheetView workbookViewId="0"/>
  </sheetViews>
  <sheetFormatPr defaultColWidth="12.6640625" defaultRowHeight="15" customHeight="1"/>
  <sheetData>
    <row r="1" spans="1:47">
      <c r="A1" s="85" t="s">
        <v>9</v>
      </c>
      <c r="B1" s="86"/>
      <c r="C1" s="86"/>
      <c r="D1" s="86"/>
      <c r="E1" s="87"/>
      <c r="F1" s="2"/>
      <c r="G1" s="2"/>
      <c r="H1" s="2"/>
      <c r="I1" s="2"/>
      <c r="J1" s="2"/>
      <c r="K1" s="2"/>
      <c r="L1" s="88" t="s">
        <v>10</v>
      </c>
      <c r="M1" s="89"/>
      <c r="N1" s="89"/>
      <c r="O1" s="89"/>
      <c r="P1" s="90"/>
      <c r="X1" s="91" t="s">
        <v>11</v>
      </c>
      <c r="Y1" s="92"/>
      <c r="Z1" s="92"/>
      <c r="AA1" s="92"/>
      <c r="AB1" s="92"/>
      <c r="AK1" s="91" t="s">
        <v>12</v>
      </c>
      <c r="AL1" s="92"/>
      <c r="AM1" s="92"/>
      <c r="AN1" s="92"/>
      <c r="AO1" s="2"/>
      <c r="AP1" s="2"/>
      <c r="AQ1" s="2"/>
      <c r="AR1" s="2"/>
      <c r="AS1" s="2"/>
      <c r="AT1" s="2"/>
      <c r="AU1" s="2"/>
    </row>
    <row r="2" spans="1:47">
      <c r="A2" s="3"/>
      <c r="B2" s="4">
        <v>2023</v>
      </c>
      <c r="C2" s="4">
        <v>2024</v>
      </c>
      <c r="D2" s="4">
        <v>2025</v>
      </c>
      <c r="E2" s="5">
        <v>2026</v>
      </c>
      <c r="L2" s="3"/>
      <c r="M2" s="4">
        <v>2023</v>
      </c>
      <c r="N2" s="4">
        <v>2024</v>
      </c>
      <c r="O2" s="4">
        <v>2025</v>
      </c>
      <c r="P2" s="5">
        <v>2026</v>
      </c>
      <c r="Q2" s="1" t="s">
        <v>13</v>
      </c>
      <c r="X2" s="6"/>
      <c r="Y2" s="7" t="s">
        <v>14</v>
      </c>
      <c r="Z2" s="7" t="s">
        <v>15</v>
      </c>
      <c r="AA2" s="7" t="s">
        <v>16</v>
      </c>
      <c r="AB2" s="7" t="s">
        <v>17</v>
      </c>
      <c r="AC2" s="7" t="s">
        <v>18</v>
      </c>
      <c r="AK2" s="6"/>
      <c r="AL2" s="7">
        <v>2023</v>
      </c>
      <c r="AM2" s="7">
        <v>2024</v>
      </c>
      <c r="AN2" s="7">
        <v>2025</v>
      </c>
      <c r="AO2" s="7">
        <v>2026</v>
      </c>
      <c r="AP2" s="8"/>
      <c r="AQ2" s="8"/>
      <c r="AR2" s="8"/>
      <c r="AS2" s="8"/>
      <c r="AT2" s="8"/>
      <c r="AU2" s="8"/>
    </row>
    <row r="3" spans="1:47">
      <c r="A3" s="9" t="s">
        <v>19</v>
      </c>
      <c r="B3" s="10">
        <f t="shared" ref="B3:D3" si="0">B21+B39+B57+B75</f>
        <v>31</v>
      </c>
      <c r="C3" s="10">
        <f t="shared" si="0"/>
        <v>19</v>
      </c>
      <c r="D3" s="11">
        <f t="shared" si="0"/>
        <v>12</v>
      </c>
      <c r="E3" s="11">
        <f>E21+E39+E57+E75+E93</f>
        <v>119</v>
      </c>
      <c r="L3" s="9" t="s">
        <v>19</v>
      </c>
      <c r="M3" s="12">
        <f t="shared" ref="M3:P3" si="1">M21+M39+M57+M75</f>
        <v>9401</v>
      </c>
      <c r="N3" s="12">
        <f t="shared" si="1"/>
        <v>5253.5</v>
      </c>
      <c r="O3" s="12">
        <f t="shared" si="1"/>
        <v>2763.5</v>
      </c>
      <c r="P3" s="12">
        <f t="shared" si="1"/>
        <v>8164.5</v>
      </c>
      <c r="Q3" s="13">
        <v>5253.5</v>
      </c>
      <c r="X3" s="6" t="s">
        <v>19</v>
      </c>
      <c r="Y3" s="12">
        <f>'Classes Data'!V15</f>
        <v>5348.5</v>
      </c>
      <c r="Z3" s="12">
        <f>'Classes Data'!V27</f>
        <v>2763.5</v>
      </c>
      <c r="AA3" s="14">
        <f>'Classes Data'!V39</f>
        <v>16730.5</v>
      </c>
      <c r="AB3" s="14">
        <f t="shared" ref="AB3:AB14" si="2">(Z3*0.25)+Z3</f>
        <v>3454.375</v>
      </c>
      <c r="AC3" s="13">
        <f t="shared" ref="AC3:AC14" si="3">(Z3*0.4)+Z3</f>
        <v>3868.9</v>
      </c>
      <c r="AK3" s="7" t="s">
        <v>20</v>
      </c>
      <c r="AL3" s="12">
        <f t="shared" ref="AL3:AO3" si="4">SUM(M3:M5)</f>
        <v>21291</v>
      </c>
      <c r="AM3" s="12">
        <f t="shared" si="4"/>
        <v>15456</v>
      </c>
      <c r="AN3" s="12">
        <f t="shared" si="4"/>
        <v>12994</v>
      </c>
      <c r="AO3" s="12">
        <f t="shared" si="4"/>
        <v>8164.5</v>
      </c>
      <c r="AP3" s="12"/>
      <c r="AQ3" s="12"/>
      <c r="AR3" s="12"/>
      <c r="AS3" s="12"/>
      <c r="AT3" s="12"/>
      <c r="AU3" s="12"/>
    </row>
    <row r="4" spans="1:47">
      <c r="A4" s="15" t="s">
        <v>21</v>
      </c>
      <c r="B4" s="10">
        <f t="shared" ref="B4:E4" si="5">B22+B40+B58+B76</f>
        <v>10</v>
      </c>
      <c r="C4" s="10">
        <f t="shared" si="5"/>
        <v>15</v>
      </c>
      <c r="D4" s="11">
        <f t="shared" si="5"/>
        <v>14</v>
      </c>
      <c r="E4" s="11">
        <f t="shared" si="5"/>
        <v>0</v>
      </c>
      <c r="L4" s="15" t="s">
        <v>21</v>
      </c>
      <c r="M4" s="12">
        <f t="shared" ref="M4:P4" si="6">M22+M40+M58+M76</f>
        <v>2765</v>
      </c>
      <c r="N4" s="12">
        <f t="shared" si="6"/>
        <v>4147.5</v>
      </c>
      <c r="O4" s="12">
        <f t="shared" si="6"/>
        <v>3871</v>
      </c>
      <c r="P4" s="12">
        <f t="shared" si="6"/>
        <v>0</v>
      </c>
      <c r="Q4" s="13">
        <v>4147.5</v>
      </c>
      <c r="X4" s="6" t="s">
        <v>21</v>
      </c>
      <c r="Y4" s="12">
        <f>Y3+'Classes Data'!V16</f>
        <v>9496</v>
      </c>
      <c r="Z4" s="12">
        <f>Z3+'Classes Data'!V28</f>
        <v>6989.5</v>
      </c>
      <c r="AA4" s="12"/>
      <c r="AB4" s="14">
        <f t="shared" si="2"/>
        <v>8736.875</v>
      </c>
      <c r="AC4" s="13">
        <f t="shared" si="3"/>
        <v>9785.2999999999993</v>
      </c>
      <c r="AK4" s="7" t="s">
        <v>22</v>
      </c>
      <c r="AL4" s="12">
        <f t="shared" ref="AL4:AO4" si="7">SUM(M6:M8)</f>
        <v>10683.5</v>
      </c>
      <c r="AM4" s="12">
        <f t="shared" si="7"/>
        <v>23502.5</v>
      </c>
      <c r="AN4" s="12">
        <f t="shared" si="7"/>
        <v>8017</v>
      </c>
      <c r="AO4" s="12">
        <f t="shared" si="7"/>
        <v>0</v>
      </c>
      <c r="AP4" s="12"/>
      <c r="AQ4" s="12"/>
      <c r="AR4" s="12"/>
      <c r="AS4" s="12"/>
      <c r="AT4" s="12"/>
      <c r="AU4" s="12"/>
    </row>
    <row r="5" spans="1:47">
      <c r="A5" s="15" t="s">
        <v>23</v>
      </c>
      <c r="B5" s="10">
        <f t="shared" ref="B5:E5" si="8">B23+B41+B59+B77</f>
        <v>33</v>
      </c>
      <c r="C5" s="10">
        <f t="shared" si="8"/>
        <v>20</v>
      </c>
      <c r="D5" s="11">
        <f t="shared" si="8"/>
        <v>23</v>
      </c>
      <c r="E5" s="11">
        <f t="shared" si="8"/>
        <v>0</v>
      </c>
      <c r="L5" s="15" t="s">
        <v>23</v>
      </c>
      <c r="M5" s="12">
        <f t="shared" ref="M5:P5" si="9">M23+M41+M59+M77</f>
        <v>9125</v>
      </c>
      <c r="N5" s="12">
        <f t="shared" si="9"/>
        <v>6055</v>
      </c>
      <c r="O5" s="12">
        <f t="shared" si="9"/>
        <v>6359.5</v>
      </c>
      <c r="P5" s="12">
        <f t="shared" si="9"/>
        <v>0</v>
      </c>
      <c r="Q5" s="13">
        <v>6055</v>
      </c>
      <c r="X5" s="6" t="s">
        <v>23</v>
      </c>
      <c r="Y5" s="12">
        <f>Y4+'Classes Data'!V17</f>
        <v>15891</v>
      </c>
      <c r="Z5" s="12">
        <f>Z4+'Classes Data'!V29</f>
        <v>13669</v>
      </c>
      <c r="AA5" s="12"/>
      <c r="AB5" s="14">
        <f t="shared" si="2"/>
        <v>17086.25</v>
      </c>
      <c r="AC5" s="13">
        <f t="shared" si="3"/>
        <v>19136.599999999999</v>
      </c>
      <c r="AK5" s="7" t="s">
        <v>24</v>
      </c>
      <c r="AL5" s="12">
        <f t="shared" ref="AL5:AO5" si="10">SUM(M9:M11)</f>
        <v>15204</v>
      </c>
      <c r="AM5" s="12">
        <f t="shared" si="10"/>
        <v>19346</v>
      </c>
      <c r="AN5" s="12">
        <f t="shared" si="10"/>
        <v>21009.5</v>
      </c>
      <c r="AO5" s="12">
        <f t="shared" si="10"/>
        <v>0</v>
      </c>
      <c r="AP5" s="12"/>
      <c r="AQ5" s="12"/>
      <c r="AR5" s="12"/>
      <c r="AS5" s="12"/>
      <c r="AT5" s="12"/>
      <c r="AU5" s="12"/>
    </row>
    <row r="6" spans="1:47">
      <c r="A6" s="15" t="s">
        <v>25</v>
      </c>
      <c r="B6" s="10">
        <f t="shared" ref="B6:E6" si="11">B24+B42+B60+B78</f>
        <v>5</v>
      </c>
      <c r="C6" s="10">
        <f t="shared" si="11"/>
        <v>37</v>
      </c>
      <c r="D6" s="11">
        <f t="shared" si="11"/>
        <v>2</v>
      </c>
      <c r="E6" s="11">
        <f t="shared" si="11"/>
        <v>0</v>
      </c>
      <c r="L6" s="15" t="s">
        <v>25</v>
      </c>
      <c r="M6" s="12">
        <f t="shared" ref="M6:P6" si="12">M24+M42+M60+M78</f>
        <v>1382.5</v>
      </c>
      <c r="N6" s="12">
        <f t="shared" si="12"/>
        <v>10230.5</v>
      </c>
      <c r="O6" s="12">
        <f t="shared" si="12"/>
        <v>551.5</v>
      </c>
      <c r="P6" s="12">
        <f t="shared" si="12"/>
        <v>0</v>
      </c>
      <c r="Q6" s="13">
        <v>10230.5</v>
      </c>
      <c r="X6" s="6" t="s">
        <v>25</v>
      </c>
      <c r="Y6" s="12">
        <f>Y5+'Classes Data'!V18</f>
        <v>26236.5</v>
      </c>
      <c r="Z6" s="12">
        <f>Z5+'Classes Data'!V30</f>
        <v>14410.5</v>
      </c>
      <c r="AA6" s="12"/>
      <c r="AB6" s="14">
        <f t="shared" si="2"/>
        <v>18013.125</v>
      </c>
      <c r="AC6" s="13">
        <f t="shared" si="3"/>
        <v>20174.7</v>
      </c>
      <c r="AD6" s="8"/>
      <c r="AK6" s="7" t="s">
        <v>26</v>
      </c>
      <c r="AL6" s="12">
        <f t="shared" ref="AL6:AO6" si="13">SUM(M12:M14)</f>
        <v>15759</v>
      </c>
      <c r="AM6" s="12">
        <f t="shared" si="13"/>
        <v>13973.5</v>
      </c>
      <c r="AN6" s="12">
        <f t="shared" si="13"/>
        <v>16227</v>
      </c>
      <c r="AO6" s="12">
        <f t="shared" si="13"/>
        <v>0</v>
      </c>
      <c r="AP6" s="12"/>
      <c r="AQ6" s="12"/>
      <c r="AR6" s="12"/>
      <c r="AS6" s="12"/>
      <c r="AT6" s="12"/>
      <c r="AU6" s="12"/>
    </row>
    <row r="7" spans="1:47">
      <c r="A7" s="15" t="s">
        <v>27</v>
      </c>
      <c r="B7" s="10">
        <f t="shared" ref="B7:E7" si="14">B25+B43+B61+B79</f>
        <v>26</v>
      </c>
      <c r="C7" s="10">
        <f t="shared" si="14"/>
        <v>14</v>
      </c>
      <c r="D7" s="11">
        <f t="shared" si="14"/>
        <v>15</v>
      </c>
      <c r="E7" s="11">
        <f t="shared" si="14"/>
        <v>0</v>
      </c>
      <c r="L7" s="15" t="s">
        <v>27</v>
      </c>
      <c r="M7" s="12">
        <f t="shared" ref="M7:P7" si="15">M25+M43+M61+M79</f>
        <v>6812.5</v>
      </c>
      <c r="N7" s="12">
        <f t="shared" si="15"/>
        <v>3871</v>
      </c>
      <c r="O7" s="12">
        <f t="shared" si="15"/>
        <v>3871</v>
      </c>
      <c r="P7" s="12">
        <f t="shared" si="15"/>
        <v>0</v>
      </c>
      <c r="Q7" s="13">
        <v>3871</v>
      </c>
      <c r="X7" s="6" t="s">
        <v>27</v>
      </c>
      <c r="Y7" s="12">
        <f>Y6+'Classes Data'!V19</f>
        <v>30302.5</v>
      </c>
      <c r="Z7" s="12">
        <f>Z6+'Classes Data'!V31</f>
        <v>18281.5</v>
      </c>
      <c r="AA7" s="12"/>
      <c r="AB7" s="14">
        <f t="shared" si="2"/>
        <v>22851.875</v>
      </c>
      <c r="AC7" s="13">
        <f t="shared" si="3"/>
        <v>25594.1</v>
      </c>
      <c r="AD7" s="8"/>
    </row>
    <row r="8" spans="1:47">
      <c r="A8" s="15" t="s">
        <v>28</v>
      </c>
      <c r="B8" s="10">
        <f t="shared" ref="B8:E8" si="16">B26+B44+B62+B80</f>
        <v>12</v>
      </c>
      <c r="C8" s="10">
        <f t="shared" si="16"/>
        <v>27</v>
      </c>
      <c r="D8" s="11">
        <f t="shared" si="16"/>
        <v>13</v>
      </c>
      <c r="E8" s="11">
        <f t="shared" si="16"/>
        <v>0</v>
      </c>
      <c r="L8" s="15" t="s">
        <v>28</v>
      </c>
      <c r="M8" s="12">
        <f t="shared" ref="M8:P8" si="17">M26+M44+M62+M80</f>
        <v>2488.5</v>
      </c>
      <c r="N8" s="12">
        <f t="shared" si="17"/>
        <v>9401</v>
      </c>
      <c r="O8" s="12">
        <f t="shared" si="17"/>
        <v>3594.5</v>
      </c>
      <c r="P8" s="12">
        <f t="shared" si="17"/>
        <v>0</v>
      </c>
      <c r="Q8" s="13">
        <v>9401</v>
      </c>
      <c r="X8" s="6" t="s">
        <v>28</v>
      </c>
      <c r="Y8" s="12">
        <f>Y7+'Classes Data'!V20</f>
        <v>40033.5</v>
      </c>
      <c r="Z8" s="12">
        <f>Z7+'Classes Data'!V32</f>
        <v>22086</v>
      </c>
      <c r="AA8" s="12"/>
      <c r="AB8" s="14">
        <f t="shared" si="2"/>
        <v>27607.5</v>
      </c>
      <c r="AC8" s="13">
        <f t="shared" si="3"/>
        <v>30920.400000000001</v>
      </c>
      <c r="AD8" s="8"/>
    </row>
    <row r="9" spans="1:47">
      <c r="A9" s="16" t="s">
        <v>29</v>
      </c>
      <c r="B9" s="10">
        <f t="shared" ref="B9:E9" si="18">B27+B45+B63+B81</f>
        <v>18</v>
      </c>
      <c r="C9" s="10">
        <f t="shared" si="18"/>
        <v>13</v>
      </c>
      <c r="D9" s="11">
        <f t="shared" si="18"/>
        <v>36</v>
      </c>
      <c r="E9" s="11">
        <f t="shared" si="18"/>
        <v>0</v>
      </c>
      <c r="L9" s="15" t="s">
        <v>29</v>
      </c>
      <c r="M9" s="12">
        <f t="shared" ref="M9:P9" si="19">M27+M45+M63+M81</f>
        <v>5253.5</v>
      </c>
      <c r="N9" s="12">
        <f t="shared" si="19"/>
        <v>3593</v>
      </c>
      <c r="O9" s="12">
        <f t="shared" si="19"/>
        <v>9677.5</v>
      </c>
      <c r="P9" s="12">
        <f t="shared" si="19"/>
        <v>0</v>
      </c>
      <c r="Q9" s="13">
        <v>3593</v>
      </c>
      <c r="X9" s="6" t="s">
        <v>29</v>
      </c>
      <c r="Y9" s="12">
        <f>Y8+'Classes Data'!V21</f>
        <v>43826.5</v>
      </c>
      <c r="Z9" s="12">
        <f>Z8+'Classes Data'!V33</f>
        <v>31838.5</v>
      </c>
      <c r="AA9" s="12"/>
      <c r="AB9" s="14">
        <f t="shared" si="2"/>
        <v>39798.125</v>
      </c>
      <c r="AC9" s="13">
        <f t="shared" si="3"/>
        <v>44573.9</v>
      </c>
      <c r="AK9" s="17"/>
    </row>
    <row r="10" spans="1:47">
      <c r="A10" s="15" t="s">
        <v>30</v>
      </c>
      <c r="B10" s="10">
        <f t="shared" ref="B10:E10" si="20">B28+B46+B64+B82</f>
        <v>19</v>
      </c>
      <c r="C10" s="10">
        <f t="shared" si="20"/>
        <v>40</v>
      </c>
      <c r="D10" s="11">
        <f t="shared" si="20"/>
        <v>16</v>
      </c>
      <c r="E10" s="11">
        <f t="shared" si="20"/>
        <v>0</v>
      </c>
      <c r="L10" s="15" t="s">
        <v>30</v>
      </c>
      <c r="M10" s="12">
        <f t="shared" ref="M10:P10" si="21">M28+M46+M64+M82</f>
        <v>6081.5</v>
      </c>
      <c r="N10" s="12">
        <f t="shared" si="21"/>
        <v>11055.5</v>
      </c>
      <c r="O10" s="12">
        <f t="shared" si="21"/>
        <v>4422.5</v>
      </c>
      <c r="P10" s="12">
        <f t="shared" si="21"/>
        <v>0</v>
      </c>
      <c r="Q10" s="13">
        <v>11055.5</v>
      </c>
      <c r="X10" s="6" t="s">
        <v>30</v>
      </c>
      <c r="Y10" s="12">
        <f>Y9+'Classes Data'!V22</f>
        <v>55047</v>
      </c>
      <c r="Z10" s="12">
        <f>Z9+'Classes Data'!V34</f>
        <v>36396</v>
      </c>
      <c r="AA10" s="12"/>
      <c r="AB10" s="14">
        <f t="shared" si="2"/>
        <v>45495</v>
      </c>
      <c r="AC10" s="13">
        <f t="shared" si="3"/>
        <v>50954.400000000001</v>
      </c>
      <c r="AK10" s="91" t="s">
        <v>31</v>
      </c>
      <c r="AL10" s="92"/>
      <c r="AM10" s="92"/>
      <c r="AN10" s="92"/>
      <c r="AO10" s="2"/>
      <c r="AP10" s="2"/>
      <c r="AQ10" s="2"/>
      <c r="AR10" s="2"/>
      <c r="AS10" s="2"/>
      <c r="AT10" s="2"/>
      <c r="AU10" s="2"/>
    </row>
    <row r="11" spans="1:47">
      <c r="A11" s="15" t="s">
        <v>32</v>
      </c>
      <c r="B11" s="10">
        <f t="shared" ref="B11:E11" si="22">B29+B47+B65+B83</f>
        <v>15</v>
      </c>
      <c r="C11" s="10">
        <f t="shared" si="22"/>
        <v>17</v>
      </c>
      <c r="D11" s="11">
        <f t="shared" si="22"/>
        <v>25</v>
      </c>
      <c r="E11" s="11">
        <f t="shared" si="22"/>
        <v>0</v>
      </c>
      <c r="L11" s="15" t="s">
        <v>32</v>
      </c>
      <c r="M11" s="12">
        <f t="shared" ref="M11:P11" si="23">M29+M47+M65+M83</f>
        <v>3869</v>
      </c>
      <c r="N11" s="12">
        <f t="shared" si="23"/>
        <v>4697.5</v>
      </c>
      <c r="O11" s="12">
        <f t="shared" si="23"/>
        <v>6909.5</v>
      </c>
      <c r="P11" s="12">
        <f t="shared" si="23"/>
        <v>0</v>
      </c>
      <c r="Q11" s="13">
        <v>4697.5</v>
      </c>
      <c r="X11" s="6" t="s">
        <v>32</v>
      </c>
      <c r="Y11" s="12">
        <f>Y10+'Classes Data'!V23</f>
        <v>60044.5</v>
      </c>
      <c r="Z11" s="12">
        <f>Z10+'Classes Data'!V35</f>
        <v>43470.5</v>
      </c>
      <c r="AA11" s="12"/>
      <c r="AB11" s="14">
        <f t="shared" si="2"/>
        <v>54338.125</v>
      </c>
      <c r="AC11" s="13">
        <f t="shared" si="3"/>
        <v>60858.7</v>
      </c>
      <c r="AK11" s="6"/>
      <c r="AL11" s="7">
        <v>2023</v>
      </c>
      <c r="AM11" s="7">
        <v>2024</v>
      </c>
      <c r="AN11" s="7">
        <v>2025</v>
      </c>
      <c r="AO11" s="7">
        <v>2026</v>
      </c>
      <c r="AP11" s="8"/>
      <c r="AQ11" s="8"/>
      <c r="AR11" s="8"/>
      <c r="AS11" s="8"/>
      <c r="AT11" s="8"/>
      <c r="AU11" s="8"/>
    </row>
    <row r="12" spans="1:47">
      <c r="A12" s="15" t="s">
        <v>33</v>
      </c>
      <c r="B12" s="10">
        <f t="shared" ref="B12:E12" si="24">B30+B48+B66+B84</f>
        <v>20</v>
      </c>
      <c r="C12" s="10">
        <f t="shared" si="24"/>
        <v>0</v>
      </c>
      <c r="D12" s="11">
        <f t="shared" si="24"/>
        <v>17</v>
      </c>
      <c r="E12" s="11">
        <f t="shared" si="24"/>
        <v>0</v>
      </c>
      <c r="L12" s="15" t="s">
        <v>33</v>
      </c>
      <c r="M12" s="12">
        <f t="shared" ref="M12:P12" si="25">M30+M48+M66+M84</f>
        <v>4977</v>
      </c>
      <c r="N12" s="12">
        <f t="shared" si="25"/>
        <v>0</v>
      </c>
      <c r="O12" s="12">
        <f t="shared" si="25"/>
        <v>4697.5</v>
      </c>
      <c r="P12" s="12">
        <f t="shared" si="25"/>
        <v>0</v>
      </c>
      <c r="Q12" s="13">
        <v>0</v>
      </c>
      <c r="X12" s="6" t="s">
        <v>33</v>
      </c>
      <c r="Y12" s="12">
        <f>Y11+'Classes Data'!V24</f>
        <v>60179.5</v>
      </c>
      <c r="Z12" s="12">
        <f>Z11+'Classes Data'!V36</f>
        <v>48663</v>
      </c>
      <c r="AA12" s="12"/>
      <c r="AB12" s="14">
        <f t="shared" si="2"/>
        <v>60828.75</v>
      </c>
      <c r="AC12" s="13">
        <f t="shared" si="3"/>
        <v>68128.2</v>
      </c>
      <c r="AK12" s="7" t="s">
        <v>20</v>
      </c>
      <c r="AL12" s="12"/>
      <c r="AM12" s="18">
        <f t="shared" ref="AM12:AO12" si="26">(AM3-AL3)/AL3</f>
        <v>-0.27405946174439905</v>
      </c>
      <c r="AN12" s="18">
        <f t="shared" si="26"/>
        <v>-0.15929089026915114</v>
      </c>
      <c r="AO12" s="18">
        <f t="shared" si="26"/>
        <v>-0.37167154071109743</v>
      </c>
      <c r="AP12" s="18"/>
      <c r="AQ12" s="18"/>
      <c r="AR12" s="18"/>
      <c r="AS12" s="18"/>
      <c r="AT12" s="18"/>
      <c r="AU12" s="18"/>
    </row>
    <row r="13" spans="1:47">
      <c r="A13" s="15" t="s">
        <v>34</v>
      </c>
      <c r="B13" s="10">
        <f t="shared" ref="B13:E13" si="27">B31+B49+B67+B85</f>
        <v>12</v>
      </c>
      <c r="C13" s="10">
        <f t="shared" si="27"/>
        <v>22</v>
      </c>
      <c r="D13" s="11">
        <f t="shared" si="27"/>
        <v>18</v>
      </c>
      <c r="E13" s="11">
        <f t="shared" si="27"/>
        <v>0</v>
      </c>
      <c r="L13" s="15" t="s">
        <v>34</v>
      </c>
      <c r="M13" s="12">
        <f t="shared" ref="M13:P13" si="28">M31+M49+M67+M85</f>
        <v>4147.5</v>
      </c>
      <c r="N13" s="12">
        <f t="shared" si="28"/>
        <v>6083</v>
      </c>
      <c r="O13" s="12">
        <f t="shared" si="28"/>
        <v>4610</v>
      </c>
      <c r="P13" s="12">
        <f t="shared" si="28"/>
        <v>0</v>
      </c>
      <c r="Q13" s="13">
        <v>6083</v>
      </c>
      <c r="X13" s="6" t="s">
        <v>34</v>
      </c>
      <c r="Y13" s="12">
        <f>Y12+'Classes Data'!V25</f>
        <v>66262.5</v>
      </c>
      <c r="Z13" s="12">
        <f>Z12+'Classes Data'!V37</f>
        <v>53458</v>
      </c>
      <c r="AA13" s="12"/>
      <c r="AB13" s="14">
        <f t="shared" si="2"/>
        <v>66822.5</v>
      </c>
      <c r="AC13" s="13">
        <f t="shared" si="3"/>
        <v>74841.2</v>
      </c>
      <c r="AK13" s="7" t="s">
        <v>22</v>
      </c>
      <c r="AL13" s="12"/>
      <c r="AM13" s="18">
        <f t="shared" ref="AM13:AN13" si="29">(AM4-AL4)/AL4</f>
        <v>1.1998876772593252</v>
      </c>
      <c r="AN13" s="18">
        <f t="shared" si="29"/>
        <v>-0.65888735240931817</v>
      </c>
      <c r="AO13" s="18"/>
      <c r="AP13" s="18"/>
      <c r="AQ13" s="18"/>
      <c r="AR13" s="18"/>
      <c r="AS13" s="18"/>
      <c r="AT13" s="18"/>
      <c r="AU13" s="18"/>
    </row>
    <row r="14" spans="1:47">
      <c r="A14" s="19" t="s">
        <v>35</v>
      </c>
      <c r="B14" s="20">
        <f t="shared" ref="B14:E14" si="30">B32+B50+B68+B86</f>
        <v>26</v>
      </c>
      <c r="C14" s="20">
        <f t="shared" si="30"/>
        <v>29</v>
      </c>
      <c r="D14" s="21">
        <f t="shared" si="30"/>
        <v>23</v>
      </c>
      <c r="E14" s="21">
        <f t="shared" si="30"/>
        <v>0</v>
      </c>
      <c r="L14" s="19" t="s">
        <v>35</v>
      </c>
      <c r="M14" s="22">
        <f t="shared" ref="M14:P14" si="31">M32+M50+M68+M86</f>
        <v>6634.5</v>
      </c>
      <c r="N14" s="22">
        <f t="shared" si="31"/>
        <v>7890.5</v>
      </c>
      <c r="O14" s="22">
        <f t="shared" si="31"/>
        <v>6919.5</v>
      </c>
      <c r="P14" s="12">
        <f t="shared" si="31"/>
        <v>0</v>
      </c>
      <c r="Q14" s="13">
        <v>7890.5</v>
      </c>
      <c r="X14" s="6" t="s">
        <v>35</v>
      </c>
      <c r="Y14" s="12">
        <f>Y13+'Classes Data'!V26</f>
        <v>74153</v>
      </c>
      <c r="Z14" s="12">
        <f>Z13+'Classes Data'!V38</f>
        <v>61214</v>
      </c>
      <c r="AA14" s="12"/>
      <c r="AB14" s="14">
        <f t="shared" si="2"/>
        <v>76517.5</v>
      </c>
      <c r="AC14" s="13">
        <f t="shared" si="3"/>
        <v>85699.6</v>
      </c>
      <c r="AK14" s="7" t="s">
        <v>24</v>
      </c>
      <c r="AL14" s="12"/>
      <c r="AM14" s="18">
        <f t="shared" ref="AM14:AN14" si="32">(AM5-AL5)/AL5</f>
        <v>0.27242830833991055</v>
      </c>
      <c r="AN14" s="18">
        <f t="shared" si="32"/>
        <v>8.5986767290395949E-2</v>
      </c>
      <c r="AO14" s="18"/>
      <c r="AP14" s="18"/>
      <c r="AQ14" s="18"/>
      <c r="AR14" s="18"/>
      <c r="AS14" s="18"/>
      <c r="AT14" s="18"/>
      <c r="AU14" s="18"/>
    </row>
    <row r="15" spans="1:4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Z15" s="23">
        <f>(Z14-Y14)/Y14</f>
        <v>-0.17449058028670453</v>
      </c>
      <c r="AK15" s="7" t="s">
        <v>26</v>
      </c>
      <c r="AL15" s="12"/>
      <c r="AM15" s="18">
        <f t="shared" ref="AM15:AN15" si="33">(AM6-AL6)/AL6</f>
        <v>-0.11330033631575608</v>
      </c>
      <c r="AN15" s="18">
        <f t="shared" si="33"/>
        <v>0.16126954592621748</v>
      </c>
      <c r="AO15" s="18"/>
      <c r="AP15" s="18"/>
      <c r="AQ15" s="18"/>
      <c r="AR15" s="18"/>
      <c r="AS15" s="18"/>
      <c r="AT15" s="18"/>
      <c r="AU15" s="18"/>
    </row>
    <row r="16" spans="1:4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4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4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41">
      <c r="A19" s="91" t="s">
        <v>36</v>
      </c>
      <c r="B19" s="92"/>
      <c r="C19" s="92"/>
      <c r="D19" s="92"/>
      <c r="E19" s="92"/>
      <c r="F19" s="2"/>
      <c r="G19" s="2"/>
      <c r="H19" s="2"/>
      <c r="I19" s="2"/>
      <c r="J19" s="2"/>
      <c r="K19" s="2"/>
      <c r="L19" s="91" t="s">
        <v>37</v>
      </c>
      <c r="M19" s="92"/>
      <c r="N19" s="92"/>
      <c r="O19" s="92"/>
      <c r="P19" s="92"/>
      <c r="X19" s="91" t="s">
        <v>38</v>
      </c>
      <c r="Y19" s="92"/>
      <c r="Z19" s="92"/>
      <c r="AA19" s="92"/>
      <c r="AB19" s="92"/>
      <c r="AK19" s="91" t="s">
        <v>39</v>
      </c>
      <c r="AL19" s="92"/>
      <c r="AM19" s="92"/>
      <c r="AN19" s="92"/>
    </row>
    <row r="20" spans="1:41">
      <c r="A20" s="6"/>
      <c r="B20" s="6">
        <v>2023</v>
      </c>
      <c r="C20" s="6">
        <v>2024</v>
      </c>
      <c r="D20" s="6">
        <v>2025</v>
      </c>
      <c r="E20" s="7">
        <v>2026</v>
      </c>
      <c r="L20" s="6"/>
      <c r="M20" s="6">
        <v>2023</v>
      </c>
      <c r="N20" s="6">
        <v>2024</v>
      </c>
      <c r="O20" s="6">
        <v>2025</v>
      </c>
      <c r="P20" s="7">
        <v>2026</v>
      </c>
      <c r="X20" s="6"/>
      <c r="Y20" s="7" t="s">
        <v>14</v>
      </c>
      <c r="Z20" s="7" t="s">
        <v>15</v>
      </c>
      <c r="AA20" s="7" t="s">
        <v>16</v>
      </c>
      <c r="AB20" s="7" t="s">
        <v>17</v>
      </c>
      <c r="AK20" s="6"/>
      <c r="AL20" s="7">
        <v>2023</v>
      </c>
      <c r="AM20" s="7">
        <v>2024</v>
      </c>
      <c r="AN20" s="7">
        <v>2025</v>
      </c>
      <c r="AO20" s="7">
        <v>2026</v>
      </c>
    </row>
    <row r="21" spans="1:41">
      <c r="A21" s="6" t="s">
        <v>19</v>
      </c>
      <c r="B21" s="10">
        <f>'Classes Data'!D3</f>
        <v>19</v>
      </c>
      <c r="C21" s="10">
        <f>'Classes Data'!D15</f>
        <v>17</v>
      </c>
      <c r="D21" s="24">
        <v>12</v>
      </c>
      <c r="E21" s="25">
        <f>'Classes Data'!D39</f>
        <v>14</v>
      </c>
      <c r="L21" s="6" t="s">
        <v>19</v>
      </c>
      <c r="M21" s="12">
        <f>'Classes Data'!E3</f>
        <v>5253.5</v>
      </c>
      <c r="N21" s="12">
        <f>'Classes Data'!E15</f>
        <v>4700.5</v>
      </c>
      <c r="O21" s="12">
        <f>'Classes Data'!E27</f>
        <v>3040</v>
      </c>
      <c r="P21" s="13">
        <f>'Classes Data'!E39</f>
        <v>4207.5</v>
      </c>
      <c r="X21" s="6" t="s">
        <v>19</v>
      </c>
      <c r="Y21" s="12"/>
      <c r="Z21" s="12"/>
      <c r="AA21" s="12"/>
      <c r="AB21" s="12">
        <f t="shared" ref="AB21:AB22" si="34">AB39+AB57+AB75+AB93</f>
        <v>32.5</v>
      </c>
      <c r="AK21" s="7" t="s">
        <v>20</v>
      </c>
      <c r="AL21" s="10">
        <f t="shared" ref="AL21:AO21" si="35">SUM(B3:B5)</f>
        <v>74</v>
      </c>
      <c r="AM21" s="10">
        <f t="shared" si="35"/>
        <v>54</v>
      </c>
      <c r="AN21" s="10">
        <f t="shared" si="35"/>
        <v>49</v>
      </c>
      <c r="AO21" s="10">
        <f t="shared" si="35"/>
        <v>119</v>
      </c>
    </row>
    <row r="22" spans="1:41">
      <c r="A22" s="6" t="s">
        <v>21</v>
      </c>
      <c r="B22" s="10">
        <f>'Classes Data'!D4</f>
        <v>10</v>
      </c>
      <c r="C22" s="10">
        <f>'Classes Data'!D16</f>
        <v>11</v>
      </c>
      <c r="D22" s="10">
        <f>'Classes Data'!D28</f>
        <v>14</v>
      </c>
      <c r="E22" s="25">
        <f>'Classes Data'!D40</f>
        <v>0</v>
      </c>
      <c r="L22" s="6" t="s">
        <v>21</v>
      </c>
      <c r="M22" s="12">
        <f>'Classes Data'!E4</f>
        <v>2765</v>
      </c>
      <c r="N22" s="12">
        <f>'Classes Data'!E16</f>
        <v>3041.5</v>
      </c>
      <c r="O22" s="12">
        <f>'Classes Data'!E28</f>
        <v>3871</v>
      </c>
      <c r="P22" s="13">
        <f>'Classes Data'!E40</f>
        <v>0</v>
      </c>
      <c r="X22" s="6" t="s">
        <v>21</v>
      </c>
      <c r="Y22" s="18">
        <f t="shared" ref="Y22:AA22" si="36">(Y4-Y3)/Y3</f>
        <v>0.77545106104515282</v>
      </c>
      <c r="Z22" s="18">
        <f t="shared" si="36"/>
        <v>1.5292201917857788</v>
      </c>
      <c r="AA22" s="18">
        <f t="shared" si="36"/>
        <v>-1</v>
      </c>
      <c r="AB22" s="12">
        <f t="shared" si="34"/>
        <v>18130.75</v>
      </c>
      <c r="AK22" s="7" t="s">
        <v>22</v>
      </c>
      <c r="AL22" s="10">
        <f t="shared" ref="AL22:AN22" si="37">SUM(B6:B8)</f>
        <v>43</v>
      </c>
      <c r="AM22" s="10">
        <f t="shared" si="37"/>
        <v>78</v>
      </c>
      <c r="AN22" s="10">
        <f t="shared" si="37"/>
        <v>30</v>
      </c>
      <c r="AO22" s="10"/>
    </row>
    <row r="23" spans="1:41">
      <c r="A23" s="6" t="s">
        <v>23</v>
      </c>
      <c r="B23" s="10">
        <f>'Classes Data'!D5</f>
        <v>16</v>
      </c>
      <c r="C23" s="10">
        <f>'Classes Data'!D17</f>
        <v>9</v>
      </c>
      <c r="D23" s="10">
        <f>'Classes Data'!D29</f>
        <v>6</v>
      </c>
      <c r="E23" s="25">
        <f>'Classes Data'!D41</f>
        <v>0</v>
      </c>
      <c r="L23" s="6" t="s">
        <v>23</v>
      </c>
      <c r="M23" s="12">
        <f>'Classes Data'!E5</f>
        <v>4424</v>
      </c>
      <c r="N23" s="12">
        <f>'Classes Data'!E17</f>
        <v>3038.5</v>
      </c>
      <c r="O23" s="12">
        <f>'Classes Data'!E29</f>
        <v>1659</v>
      </c>
      <c r="P23" s="13">
        <f>'Classes Data'!E41</f>
        <v>0</v>
      </c>
      <c r="X23" s="6" t="s">
        <v>23</v>
      </c>
      <c r="Y23" s="18">
        <f t="shared" ref="Y23:AA23" si="38">(Y5-Y4)/Y4</f>
        <v>0.67344144903117098</v>
      </c>
      <c r="Z23" s="18">
        <f t="shared" si="38"/>
        <v>0.95564775735031116</v>
      </c>
      <c r="AA23" s="18" t="e">
        <f t="shared" si="38"/>
        <v>#DIV/0!</v>
      </c>
      <c r="AB23" s="14">
        <v>18069.5</v>
      </c>
      <c r="AK23" s="7" t="s">
        <v>24</v>
      </c>
      <c r="AL23" s="10">
        <f t="shared" ref="AL23:AN23" si="39">SUM(B9:B11)</f>
        <v>52</v>
      </c>
      <c r="AM23" s="10">
        <f t="shared" si="39"/>
        <v>70</v>
      </c>
      <c r="AN23" s="10">
        <f t="shared" si="39"/>
        <v>77</v>
      </c>
      <c r="AO23" s="10"/>
    </row>
    <row r="24" spans="1:41">
      <c r="A24" s="6" t="s">
        <v>25</v>
      </c>
      <c r="B24" s="10">
        <f>'Classes Data'!D6</f>
        <v>8</v>
      </c>
      <c r="C24" s="10">
        <f>'Classes Data'!D18</f>
        <v>17</v>
      </c>
      <c r="D24" s="10">
        <f>'Classes Data'!D30</f>
        <v>4</v>
      </c>
      <c r="E24" s="25">
        <f>'Classes Data'!D42</f>
        <v>0</v>
      </c>
      <c r="L24" s="6" t="s">
        <v>25</v>
      </c>
      <c r="M24" s="12">
        <f>'Classes Data'!E6</f>
        <v>2212</v>
      </c>
      <c r="N24" s="12">
        <f>'Classes Data'!E18</f>
        <v>4700.5</v>
      </c>
      <c r="O24" s="12">
        <f>'Classes Data'!E30</f>
        <v>1106</v>
      </c>
      <c r="P24" s="13">
        <f>'Classes Data'!E42</f>
        <v>0</v>
      </c>
      <c r="X24" s="6" t="s">
        <v>25</v>
      </c>
      <c r="Y24" s="18">
        <f t="shared" ref="Y24:AA24" si="40">(Y6-Y5)/Y5</f>
        <v>0.65102888427411743</v>
      </c>
      <c r="Z24" s="18">
        <f t="shared" si="40"/>
        <v>5.4246835906064821E-2</v>
      </c>
      <c r="AA24" s="18" t="e">
        <f t="shared" si="40"/>
        <v>#DIV/0!</v>
      </c>
      <c r="AB24" s="14">
        <v>18069.5</v>
      </c>
      <c r="AK24" s="7" t="s">
        <v>26</v>
      </c>
      <c r="AL24" s="10">
        <f t="shared" ref="AL24:AN24" si="41">SUM(B12:B14)</f>
        <v>58</v>
      </c>
      <c r="AM24" s="10">
        <f t="shared" si="41"/>
        <v>51</v>
      </c>
      <c r="AN24" s="10">
        <f t="shared" si="41"/>
        <v>58</v>
      </c>
      <c r="AO24" s="10"/>
    </row>
    <row r="25" spans="1:41">
      <c r="A25" s="6" t="s">
        <v>27</v>
      </c>
      <c r="B25" s="10">
        <f>'Classes Data'!D7</f>
        <v>12</v>
      </c>
      <c r="C25" s="10">
        <f>'Classes Data'!D19</f>
        <v>14</v>
      </c>
      <c r="D25" s="10">
        <f>'Classes Data'!D31</f>
        <v>13</v>
      </c>
      <c r="E25" s="25">
        <f>'Classes Data'!D43</f>
        <v>0</v>
      </c>
      <c r="L25" s="6" t="s">
        <v>27</v>
      </c>
      <c r="M25" s="12">
        <f>'Classes Data'!E7</f>
        <v>3318</v>
      </c>
      <c r="N25" s="12">
        <f>'Classes Data'!E19</f>
        <v>3871</v>
      </c>
      <c r="O25" s="12">
        <f>'Classes Data'!E31</f>
        <v>3594.5</v>
      </c>
      <c r="P25" s="13">
        <f>'Classes Data'!E43</f>
        <v>0</v>
      </c>
      <c r="X25" s="6" t="s">
        <v>27</v>
      </c>
      <c r="Y25" s="18">
        <f t="shared" ref="Y25:AA25" si="42">(Y7-Y6)/Y6</f>
        <v>0.15497493949269148</v>
      </c>
      <c r="Z25" s="18">
        <f t="shared" si="42"/>
        <v>0.26862357308906698</v>
      </c>
      <c r="AA25" s="18" t="e">
        <f t="shared" si="42"/>
        <v>#DIV/0!</v>
      </c>
      <c r="AB25" s="14">
        <v>18069.5</v>
      </c>
    </row>
    <row r="26" spans="1:41">
      <c r="A26" s="6" t="s">
        <v>28</v>
      </c>
      <c r="B26" s="10">
        <f>'Classes Data'!D8</f>
        <v>8</v>
      </c>
      <c r="C26" s="10">
        <f>'Classes Data'!D20</f>
        <v>15</v>
      </c>
      <c r="D26" s="10">
        <f>'Classes Data'!D32</f>
        <v>6</v>
      </c>
      <c r="E26" s="25">
        <f>'Classes Data'!D44</f>
        <v>0</v>
      </c>
      <c r="F26" s="23">
        <f>((SUM(D21:D26)-SUM(C21:C26))/(SUM(C21:C26)))</f>
        <v>-0.33734939759036142</v>
      </c>
      <c r="L26" s="6" t="s">
        <v>28</v>
      </c>
      <c r="M26" s="12">
        <f>'Classes Data'!E8</f>
        <v>2212</v>
      </c>
      <c r="N26" s="12">
        <f>'Classes Data'!E20</f>
        <v>4147.5</v>
      </c>
      <c r="O26" s="12">
        <f>'Classes Data'!E32</f>
        <v>1659</v>
      </c>
      <c r="P26" s="13">
        <f>'Classes Data'!E44</f>
        <v>0</v>
      </c>
      <c r="X26" s="6" t="s">
        <v>28</v>
      </c>
      <c r="Y26" s="18">
        <f t="shared" ref="Y26:AA26" si="43">(Y8-Y7)/Y7</f>
        <v>0.32112861975084567</v>
      </c>
      <c r="Z26" s="18">
        <f t="shared" si="43"/>
        <v>0.20810655580778384</v>
      </c>
      <c r="AA26" s="18" t="e">
        <f t="shared" si="43"/>
        <v>#DIV/0!</v>
      </c>
      <c r="AB26" s="12">
        <f>AB25*2</f>
        <v>36139</v>
      </c>
    </row>
    <row r="27" spans="1:41">
      <c r="A27" s="6" t="s">
        <v>29</v>
      </c>
      <c r="B27" s="10">
        <f>'Classes Data'!D9</f>
        <v>7</v>
      </c>
      <c r="C27" s="10">
        <f>'Classes Data'!D21</f>
        <v>9</v>
      </c>
      <c r="D27" s="10">
        <f>'Classes Data'!D33</f>
        <v>15</v>
      </c>
      <c r="E27" s="25">
        <f>'Classes Data'!D45</f>
        <v>0</v>
      </c>
      <c r="F27" s="23">
        <f>((SUM(D27:D30)-SUM(C27:C30))/(SUM(C27:C30)))</f>
        <v>1</v>
      </c>
      <c r="L27" s="6" t="s">
        <v>29</v>
      </c>
      <c r="M27" s="12">
        <f>'Classes Data'!E9</f>
        <v>1935.5</v>
      </c>
      <c r="N27" s="12">
        <f>'Classes Data'!E21</f>
        <v>2488.5</v>
      </c>
      <c r="O27" s="12">
        <f>'Classes Data'!E33</f>
        <v>4147.5</v>
      </c>
      <c r="P27" s="13">
        <f>'Classes Data'!E45</f>
        <v>0</v>
      </c>
      <c r="X27" s="6" t="s">
        <v>29</v>
      </c>
      <c r="Y27" s="18">
        <f t="shared" ref="Y27:AA27" si="44">(Y9-Y8)/Y8</f>
        <v>9.4745650517691432E-2</v>
      </c>
      <c r="Z27" s="18">
        <f t="shared" si="44"/>
        <v>0.44156931993117809</v>
      </c>
      <c r="AA27" s="18" t="e">
        <f t="shared" si="44"/>
        <v>#DIV/0!</v>
      </c>
      <c r="AB27" s="12">
        <f t="shared" ref="AB27:AB28" si="45">AB26</f>
        <v>36139</v>
      </c>
      <c r="AK27" s="17"/>
    </row>
    <row r="28" spans="1:41">
      <c r="A28" s="6" t="s">
        <v>30</v>
      </c>
      <c r="B28" s="10">
        <f>'Classes Data'!D10</f>
        <v>15</v>
      </c>
      <c r="C28" s="10">
        <f>'Classes Data'!D22</f>
        <v>11</v>
      </c>
      <c r="D28" s="10">
        <f>'Classes Data'!D34</f>
        <v>13</v>
      </c>
      <c r="E28" s="25">
        <f>'Classes Data'!D46</f>
        <v>0</v>
      </c>
      <c r="L28" s="6" t="s">
        <v>30</v>
      </c>
      <c r="M28" s="12">
        <f>'Classes Data'!E10</f>
        <v>4146</v>
      </c>
      <c r="N28" s="12">
        <f>'Classes Data'!E22</f>
        <v>3041.5</v>
      </c>
      <c r="O28" s="12">
        <f>'Classes Data'!E34</f>
        <v>3594.5</v>
      </c>
      <c r="P28" s="13">
        <f>'Classes Data'!E46</f>
        <v>0</v>
      </c>
      <c r="X28" s="6" t="s">
        <v>30</v>
      </c>
      <c r="Y28" s="18">
        <f t="shared" ref="Y28:AA28" si="46">(Y10-Y9)/Y9</f>
        <v>0.25602090059667099</v>
      </c>
      <c r="Z28" s="18">
        <f t="shared" si="46"/>
        <v>0.14314430642147086</v>
      </c>
      <c r="AA28" s="18" t="e">
        <f t="shared" si="46"/>
        <v>#DIV/0!</v>
      </c>
      <c r="AB28" s="12">
        <f t="shared" si="45"/>
        <v>36139</v>
      </c>
      <c r="AK28" s="91" t="s">
        <v>40</v>
      </c>
      <c r="AL28" s="92"/>
      <c r="AM28" s="92"/>
      <c r="AN28" s="92"/>
    </row>
    <row r="29" spans="1:41">
      <c r="A29" s="6" t="s">
        <v>32</v>
      </c>
      <c r="B29" s="10">
        <f>'Classes Data'!D11</f>
        <v>11</v>
      </c>
      <c r="C29" s="10">
        <f>'Classes Data'!D23</f>
        <v>6</v>
      </c>
      <c r="D29" s="10">
        <f>'Classes Data'!D35</f>
        <v>13</v>
      </c>
      <c r="E29" s="25">
        <f>'Classes Data'!D47</f>
        <v>0</v>
      </c>
      <c r="L29" s="6" t="s">
        <v>32</v>
      </c>
      <c r="M29" s="12">
        <f>'Classes Data'!E11</f>
        <v>3040</v>
      </c>
      <c r="N29" s="12">
        <f>'Classes Data'!E23</f>
        <v>1659</v>
      </c>
      <c r="O29" s="12">
        <f>'Classes Data'!E35</f>
        <v>3593</v>
      </c>
      <c r="P29" s="13">
        <f>'Classes Data'!E47</f>
        <v>0</v>
      </c>
      <c r="X29" s="6" t="s">
        <v>32</v>
      </c>
      <c r="Y29" s="18">
        <f t="shared" ref="Y29:AA29" si="47">(Y11-Y10)/Y10</f>
        <v>9.0786055552527833E-2</v>
      </c>
      <c r="Z29" s="18">
        <f t="shared" si="47"/>
        <v>0.194375755577536</v>
      </c>
      <c r="AA29" s="18" t="e">
        <f t="shared" si="47"/>
        <v>#DIV/0!</v>
      </c>
      <c r="AB29" s="12">
        <f>AB25*3</f>
        <v>54208.5</v>
      </c>
      <c r="AK29" s="6"/>
      <c r="AL29" s="7">
        <v>2023</v>
      </c>
      <c r="AM29" s="7">
        <v>2024</v>
      </c>
      <c r="AN29" s="7">
        <v>2025</v>
      </c>
      <c r="AO29" s="7">
        <v>2026</v>
      </c>
    </row>
    <row r="30" spans="1:41">
      <c r="A30" s="6" t="s">
        <v>33</v>
      </c>
      <c r="B30" s="10">
        <f>'Classes Data'!D12</f>
        <v>9</v>
      </c>
      <c r="C30" s="10">
        <f>'Classes Data'!D24</f>
        <v>0</v>
      </c>
      <c r="D30" s="10">
        <f>'Classes Data'!D36</f>
        <v>11</v>
      </c>
      <c r="E30" s="25">
        <f>'Classes Data'!D48</f>
        <v>0</v>
      </c>
      <c r="L30" s="6" t="s">
        <v>33</v>
      </c>
      <c r="M30" s="12">
        <f>'Classes Data'!E12</f>
        <v>2488.5</v>
      </c>
      <c r="N30" s="12">
        <f>'Classes Data'!E24</f>
        <v>0</v>
      </c>
      <c r="O30" s="12">
        <f>'Classes Data'!E36</f>
        <v>3038.5</v>
      </c>
      <c r="P30" s="13">
        <f>'Classes Data'!E48</f>
        <v>0</v>
      </c>
      <c r="X30" s="6" t="s">
        <v>33</v>
      </c>
      <c r="Y30" s="18">
        <f t="shared" ref="Y30:AA30" si="48">(Y12-Y11)/Y11</f>
        <v>2.248332486739002E-3</v>
      </c>
      <c r="Z30" s="18">
        <f t="shared" si="48"/>
        <v>0.11944882161465821</v>
      </c>
      <c r="AA30" s="18" t="e">
        <f t="shared" si="48"/>
        <v>#DIV/0!</v>
      </c>
      <c r="AB30" s="12">
        <f t="shared" ref="AB30:AB31" si="49">AB29</f>
        <v>54208.5</v>
      </c>
      <c r="AK30" s="7" t="s">
        <v>20</v>
      </c>
      <c r="AL30" s="12"/>
      <c r="AM30" s="18">
        <f t="shared" ref="AM30:AO30" si="50">(AM21-AL21)/AL21</f>
        <v>-0.27027027027027029</v>
      </c>
      <c r="AN30" s="18">
        <f t="shared" si="50"/>
        <v>-9.2592592592592587E-2</v>
      </c>
      <c r="AO30" s="18">
        <f t="shared" si="50"/>
        <v>1.4285714285714286</v>
      </c>
    </row>
    <row r="31" spans="1:41">
      <c r="A31" s="6" t="s">
        <v>34</v>
      </c>
      <c r="B31" s="10">
        <f>'Classes Data'!D13</f>
        <v>9</v>
      </c>
      <c r="C31" s="10">
        <f>'Classes Data'!D25</f>
        <v>10</v>
      </c>
      <c r="D31" s="10">
        <f>'Classes Data'!D37</f>
        <v>9</v>
      </c>
      <c r="E31" s="25">
        <f>'Classes Data'!D49</f>
        <v>0</v>
      </c>
      <c r="L31" s="6" t="s">
        <v>34</v>
      </c>
      <c r="M31" s="12">
        <f>'Classes Data'!E13</f>
        <v>2488.5</v>
      </c>
      <c r="N31" s="12">
        <f>'Classes Data'!E25</f>
        <v>2765</v>
      </c>
      <c r="O31" s="12">
        <f>'Classes Data'!E37</f>
        <v>2284</v>
      </c>
      <c r="P31" s="13">
        <f>'Classes Data'!E49</f>
        <v>0</v>
      </c>
      <c r="X31" s="6" t="s">
        <v>34</v>
      </c>
      <c r="Y31" s="18">
        <f t="shared" ref="Y31:Y32" si="51">(Y13-Y12)/Y12</f>
        <v>0.1010809328758132</v>
      </c>
      <c r="Z31" s="12"/>
      <c r="AA31" s="12"/>
      <c r="AB31" s="12">
        <f t="shared" si="49"/>
        <v>54208.5</v>
      </c>
      <c r="AK31" s="7" t="s">
        <v>22</v>
      </c>
      <c r="AL31" s="12"/>
      <c r="AM31" s="18">
        <f t="shared" ref="AM31:AN31" si="52">(AM22-AL22)/AL22</f>
        <v>0.81395348837209303</v>
      </c>
      <c r="AN31" s="18">
        <f t="shared" si="52"/>
        <v>-0.61538461538461542</v>
      </c>
      <c r="AO31" s="18"/>
    </row>
    <row r="32" spans="1:41">
      <c r="A32" s="6" t="s">
        <v>35</v>
      </c>
      <c r="B32" s="10">
        <f>'Classes Data'!D14</f>
        <v>11</v>
      </c>
      <c r="C32" s="10">
        <f>'Classes Data'!D26</f>
        <v>12</v>
      </c>
      <c r="D32" s="10">
        <f>'Classes Data'!D38</f>
        <v>8</v>
      </c>
      <c r="E32" s="25">
        <f>'Classes Data'!D50</f>
        <v>0</v>
      </c>
      <c r="L32" s="6" t="s">
        <v>35</v>
      </c>
      <c r="M32" s="12">
        <f>'Classes Data'!E14</f>
        <v>3041.5</v>
      </c>
      <c r="N32" s="12">
        <f>'Classes Data'!E26</f>
        <v>3191.5</v>
      </c>
      <c r="O32" s="12">
        <f>'Classes Data'!E38</f>
        <v>2404</v>
      </c>
      <c r="P32" s="13">
        <f>'Classes Data'!E50</f>
        <v>0</v>
      </c>
      <c r="X32" s="6" t="s">
        <v>35</v>
      </c>
      <c r="Y32" s="18">
        <f t="shared" si="51"/>
        <v>0.11907941897755141</v>
      </c>
      <c r="Z32" s="12"/>
      <c r="AA32" s="12"/>
      <c r="AB32" s="12">
        <f>Y32</f>
        <v>0.11907941897755141</v>
      </c>
      <c r="AK32" s="7" t="s">
        <v>24</v>
      </c>
      <c r="AL32" s="12"/>
      <c r="AM32" s="18">
        <f t="shared" ref="AM32:AN32" si="53">(AM23-AL23)/AL23</f>
        <v>0.34615384615384615</v>
      </c>
      <c r="AN32" s="18">
        <f t="shared" si="53"/>
        <v>0.1</v>
      </c>
      <c r="AO32" s="18"/>
    </row>
    <row r="33" spans="1:41">
      <c r="AK33" s="7" t="s">
        <v>26</v>
      </c>
      <c r="AL33" s="12"/>
      <c r="AM33" s="18">
        <f t="shared" ref="AM33:AN33" si="54">(AM24-AL24)/AL24</f>
        <v>-0.1206896551724138</v>
      </c>
      <c r="AN33" s="18">
        <f t="shared" si="54"/>
        <v>0.13725490196078433</v>
      </c>
      <c r="AO33" s="18"/>
    </row>
    <row r="36" spans="1:41">
      <c r="X36" s="91" t="s">
        <v>41</v>
      </c>
      <c r="Y36" s="92"/>
      <c r="Z36" s="92"/>
      <c r="AA36" s="92"/>
      <c r="AB36" s="92"/>
    </row>
    <row r="37" spans="1:41">
      <c r="A37" s="91" t="s">
        <v>42</v>
      </c>
      <c r="B37" s="92"/>
      <c r="C37" s="92"/>
      <c r="D37" s="92"/>
      <c r="E37" s="92"/>
      <c r="F37" s="2"/>
      <c r="G37" s="2"/>
      <c r="H37" s="2"/>
      <c r="I37" s="2"/>
      <c r="J37" s="2"/>
      <c r="K37" s="2"/>
      <c r="L37" s="91" t="s">
        <v>43</v>
      </c>
      <c r="M37" s="92"/>
      <c r="N37" s="92"/>
      <c r="O37" s="92"/>
      <c r="X37" s="6"/>
      <c r="Y37" s="7" t="s">
        <v>14</v>
      </c>
      <c r="Z37" s="7" t="s">
        <v>15</v>
      </c>
      <c r="AA37" s="7" t="s">
        <v>16</v>
      </c>
      <c r="AB37" s="7" t="s">
        <v>17</v>
      </c>
      <c r="AC37" s="7" t="s">
        <v>18</v>
      </c>
    </row>
    <row r="38" spans="1:41">
      <c r="A38" s="6"/>
      <c r="B38" s="6">
        <v>2023</v>
      </c>
      <c r="C38" s="6">
        <v>2024</v>
      </c>
      <c r="D38" s="6">
        <v>2025</v>
      </c>
      <c r="E38" s="7">
        <v>2026</v>
      </c>
      <c r="L38" s="6"/>
      <c r="M38" s="6">
        <v>2023</v>
      </c>
      <c r="N38" s="6">
        <v>2024</v>
      </c>
      <c r="O38" s="6">
        <v>2025</v>
      </c>
      <c r="P38" s="7">
        <v>2026</v>
      </c>
      <c r="X38" s="6" t="s">
        <v>19</v>
      </c>
      <c r="Y38" s="10">
        <f t="shared" ref="Y38:AA38" si="55">C3</f>
        <v>19</v>
      </c>
      <c r="Z38" s="10">
        <f t="shared" si="55"/>
        <v>12</v>
      </c>
      <c r="AA38" s="10">
        <f t="shared" si="55"/>
        <v>119</v>
      </c>
      <c r="AB38" s="24">
        <f t="shared" ref="AB38:AB49" si="56">(Z38*0.25)+Z38</f>
        <v>15</v>
      </c>
      <c r="AC38" s="25">
        <f t="shared" ref="AC38:AC49" si="57">(Z38*0.4)+Z38</f>
        <v>16.8</v>
      </c>
    </row>
    <row r="39" spans="1:41">
      <c r="A39" s="6" t="s">
        <v>19</v>
      </c>
      <c r="B39" s="10">
        <f>'Classes Data'!F3</f>
        <v>12</v>
      </c>
      <c r="C39" s="10">
        <f>'Classes Data'!F15</f>
        <v>0</v>
      </c>
      <c r="D39" s="10">
        <f>'Classes Data'!F27</f>
        <v>-1</v>
      </c>
      <c r="E39" s="25">
        <f>'Classes Data'!F39</f>
        <v>13</v>
      </c>
      <c r="L39" s="6" t="s">
        <v>19</v>
      </c>
      <c r="M39" s="12">
        <f>'Classes Data'!G3</f>
        <v>3318</v>
      </c>
      <c r="N39" s="12">
        <f>'Classes Data'!G15</f>
        <v>0</v>
      </c>
      <c r="O39" s="12">
        <f>'Classes Data'!G27</f>
        <v>-276.5</v>
      </c>
      <c r="P39" s="13">
        <f>'Classes Data'!G39</f>
        <v>3055.5</v>
      </c>
      <c r="X39" s="6" t="s">
        <v>21</v>
      </c>
      <c r="Y39" s="10">
        <f t="shared" ref="Y39:Z39" si="58">Y38+C4</f>
        <v>34</v>
      </c>
      <c r="Z39" s="10">
        <f t="shared" si="58"/>
        <v>26</v>
      </c>
      <c r="AA39" s="10">
        <f t="shared" ref="AA39:AA49" si="59">E4</f>
        <v>0</v>
      </c>
      <c r="AB39" s="24">
        <f t="shared" si="56"/>
        <v>32.5</v>
      </c>
      <c r="AC39" s="25">
        <f t="shared" si="57"/>
        <v>36.4</v>
      </c>
    </row>
    <row r="40" spans="1:41">
      <c r="A40" s="6" t="s">
        <v>21</v>
      </c>
      <c r="B40" s="10">
        <f>'Classes Data'!F4</f>
        <v>0</v>
      </c>
      <c r="C40" s="10">
        <f>'Classes Data'!F16</f>
        <v>0</v>
      </c>
      <c r="D40" s="10">
        <f>'Classes Data'!F28</f>
        <v>0</v>
      </c>
      <c r="E40" s="25">
        <f>'Classes Data'!F40</f>
        <v>0</v>
      </c>
      <c r="L40" s="6" t="s">
        <v>21</v>
      </c>
      <c r="M40" s="12">
        <f>'Classes Data'!G4</f>
        <v>0</v>
      </c>
      <c r="N40" s="12">
        <f>'Classes Data'!G16</f>
        <v>0</v>
      </c>
      <c r="O40" s="12">
        <f>'Classes Data'!G28</f>
        <v>0</v>
      </c>
      <c r="P40" s="13">
        <f>'Classes Data'!G40</f>
        <v>0</v>
      </c>
      <c r="X40" s="6" t="s">
        <v>23</v>
      </c>
      <c r="Y40" s="10">
        <f t="shared" ref="Y40:Z40" si="60">Y39+C5</f>
        <v>54</v>
      </c>
      <c r="Z40" s="10">
        <f t="shared" si="60"/>
        <v>49</v>
      </c>
      <c r="AA40" s="10">
        <f t="shared" si="59"/>
        <v>0</v>
      </c>
      <c r="AB40" s="24">
        <f t="shared" si="56"/>
        <v>61.25</v>
      </c>
      <c r="AC40" s="25">
        <f t="shared" si="57"/>
        <v>68.599999999999994</v>
      </c>
    </row>
    <row r="41" spans="1:41">
      <c r="A41" s="6" t="s">
        <v>23</v>
      </c>
      <c r="B41" s="10">
        <f>'Classes Data'!F5</f>
        <v>13</v>
      </c>
      <c r="C41" s="10">
        <f>'Classes Data'!F17</f>
        <v>11</v>
      </c>
      <c r="D41" s="10">
        <f>'Classes Data'!F29</f>
        <v>6</v>
      </c>
      <c r="E41" s="25">
        <f>'Classes Data'!F41</f>
        <v>0</v>
      </c>
      <c r="L41" s="6" t="s">
        <v>23</v>
      </c>
      <c r="M41" s="12">
        <f>'Classes Data'!G5</f>
        <v>3595</v>
      </c>
      <c r="N41" s="12">
        <f>'Classes Data'!G17</f>
        <v>3016.5</v>
      </c>
      <c r="O41" s="12">
        <f>'Classes Data'!G29</f>
        <v>1659</v>
      </c>
      <c r="P41" s="13">
        <f>'Classes Data'!G41</f>
        <v>0</v>
      </c>
      <c r="X41" s="6" t="s">
        <v>25</v>
      </c>
      <c r="Y41" s="10">
        <f t="shared" ref="Y41:Z41" si="61">Y40+C6</f>
        <v>91</v>
      </c>
      <c r="Z41" s="10">
        <f t="shared" si="61"/>
        <v>51</v>
      </c>
      <c r="AA41" s="10">
        <f t="shared" si="59"/>
        <v>0</v>
      </c>
      <c r="AB41" s="24">
        <f t="shared" si="56"/>
        <v>63.75</v>
      </c>
      <c r="AC41" s="25">
        <f t="shared" si="57"/>
        <v>71.400000000000006</v>
      </c>
    </row>
    <row r="42" spans="1:41">
      <c r="A42" s="6" t="s">
        <v>25</v>
      </c>
      <c r="B42" s="10">
        <f>'Classes Data'!F6</f>
        <v>0</v>
      </c>
      <c r="C42" s="10">
        <f>'Classes Data'!F18</f>
        <v>11</v>
      </c>
      <c r="D42" s="10">
        <f>'Classes Data'!F30</f>
        <v>-3</v>
      </c>
      <c r="E42" s="25">
        <f>'Classes Data'!F42</f>
        <v>0</v>
      </c>
      <c r="L42" s="6" t="s">
        <v>25</v>
      </c>
      <c r="M42" s="12">
        <f>'Classes Data'!G6</f>
        <v>0</v>
      </c>
      <c r="N42" s="12">
        <f>'Classes Data'!G18</f>
        <v>3041.5</v>
      </c>
      <c r="O42" s="12">
        <f>'Classes Data'!G30</f>
        <v>-829.5</v>
      </c>
      <c r="P42" s="13">
        <f>'Classes Data'!G42</f>
        <v>0</v>
      </c>
      <c r="X42" s="6" t="s">
        <v>27</v>
      </c>
      <c r="Y42" s="10">
        <f t="shared" ref="Y42:Z42" si="62">Y41+C7</f>
        <v>105</v>
      </c>
      <c r="Z42" s="10">
        <f t="shared" si="62"/>
        <v>66</v>
      </c>
      <c r="AA42" s="10">
        <f t="shared" si="59"/>
        <v>0</v>
      </c>
      <c r="AB42" s="24">
        <f t="shared" si="56"/>
        <v>82.5</v>
      </c>
      <c r="AC42" s="25">
        <f t="shared" si="57"/>
        <v>92.4</v>
      </c>
    </row>
    <row r="43" spans="1:41">
      <c r="A43" s="6" t="s">
        <v>27</v>
      </c>
      <c r="B43" s="10">
        <f>'Classes Data'!F7</f>
        <v>13</v>
      </c>
      <c r="C43" s="10">
        <f>'Classes Data'!F19</f>
        <v>0</v>
      </c>
      <c r="D43" s="10">
        <f>'Classes Data'!F31</f>
        <v>2</v>
      </c>
      <c r="E43" s="25">
        <f>'Classes Data'!F43</f>
        <v>0</v>
      </c>
      <c r="L43" s="6" t="s">
        <v>27</v>
      </c>
      <c r="M43" s="12">
        <f>'Classes Data'!G7</f>
        <v>3494.5</v>
      </c>
      <c r="N43" s="12">
        <f>'Classes Data'!G19</f>
        <v>0</v>
      </c>
      <c r="O43" s="12">
        <f>'Classes Data'!G31</f>
        <v>276.5</v>
      </c>
      <c r="P43" s="13">
        <f>'Classes Data'!G43</f>
        <v>0</v>
      </c>
      <c r="X43" s="6" t="s">
        <v>28</v>
      </c>
      <c r="Y43" s="10">
        <f t="shared" ref="Y43:Z43" si="63">Y42+C8</f>
        <v>132</v>
      </c>
      <c r="Z43" s="10">
        <f t="shared" si="63"/>
        <v>79</v>
      </c>
      <c r="AA43" s="10">
        <f t="shared" si="59"/>
        <v>0</v>
      </c>
      <c r="AB43" s="24">
        <f t="shared" si="56"/>
        <v>98.75</v>
      </c>
      <c r="AC43" s="25">
        <f t="shared" si="57"/>
        <v>110.6</v>
      </c>
    </row>
    <row r="44" spans="1:41">
      <c r="A44" s="6" t="s">
        <v>28</v>
      </c>
      <c r="B44" s="10">
        <f>'Classes Data'!F8</f>
        <v>0</v>
      </c>
      <c r="C44" s="10">
        <f>'Classes Data'!F20</f>
        <v>12</v>
      </c>
      <c r="D44" s="10">
        <f>'Classes Data'!F32</f>
        <v>7</v>
      </c>
      <c r="E44" s="25">
        <f>'Classes Data'!F44</f>
        <v>0</v>
      </c>
      <c r="L44" s="6" t="s">
        <v>28</v>
      </c>
      <c r="M44" s="12">
        <f>'Classes Data'!G8</f>
        <v>0</v>
      </c>
      <c r="N44" s="12">
        <f>'Classes Data'!G20</f>
        <v>3318</v>
      </c>
      <c r="O44" s="12">
        <f>'Classes Data'!G32</f>
        <v>1935.5</v>
      </c>
      <c r="P44" s="13">
        <f>'Classes Data'!G44</f>
        <v>0</v>
      </c>
      <c r="X44" s="6" t="s">
        <v>29</v>
      </c>
      <c r="Y44" s="10">
        <f t="shared" ref="Y44:Z44" si="64">Y43+C9</f>
        <v>145</v>
      </c>
      <c r="Z44" s="10">
        <f t="shared" si="64"/>
        <v>115</v>
      </c>
      <c r="AA44" s="10">
        <f t="shared" si="59"/>
        <v>0</v>
      </c>
      <c r="AB44" s="24">
        <f t="shared" si="56"/>
        <v>143.75</v>
      </c>
      <c r="AC44" s="25">
        <f t="shared" si="57"/>
        <v>161</v>
      </c>
    </row>
    <row r="45" spans="1:41">
      <c r="A45" s="6" t="s">
        <v>29</v>
      </c>
      <c r="B45" s="10">
        <f>'Classes Data'!F9</f>
        <v>8</v>
      </c>
      <c r="C45" s="10">
        <f>'Classes Data'!F21</f>
        <v>1</v>
      </c>
      <c r="D45" s="10">
        <f>'Classes Data'!F33</f>
        <v>8</v>
      </c>
      <c r="E45" s="25">
        <f>'Classes Data'!F45</f>
        <v>0</v>
      </c>
      <c r="L45" s="6" t="s">
        <v>29</v>
      </c>
      <c r="M45" s="12">
        <f>'Classes Data'!G9</f>
        <v>2212</v>
      </c>
      <c r="N45" s="12">
        <f>'Classes Data'!G21</f>
        <v>275</v>
      </c>
      <c r="O45" s="12">
        <f>'Classes Data'!G33</f>
        <v>2212</v>
      </c>
      <c r="P45" s="13">
        <f>'Classes Data'!G45</f>
        <v>0</v>
      </c>
      <c r="X45" s="6" t="s">
        <v>30</v>
      </c>
      <c r="Y45" s="10">
        <f t="shared" ref="Y45:Z45" si="65">Y44+C10</f>
        <v>185</v>
      </c>
      <c r="Z45" s="10">
        <f t="shared" si="65"/>
        <v>131</v>
      </c>
      <c r="AA45" s="10">
        <f t="shared" si="59"/>
        <v>0</v>
      </c>
      <c r="AB45" s="24">
        <f t="shared" si="56"/>
        <v>163.75</v>
      </c>
      <c r="AC45" s="25">
        <f t="shared" si="57"/>
        <v>183.4</v>
      </c>
    </row>
    <row r="46" spans="1:41">
      <c r="A46" s="6" t="s">
        <v>30</v>
      </c>
      <c r="B46" s="10">
        <f>'Classes Data'!F10</f>
        <v>4</v>
      </c>
      <c r="C46" s="10">
        <f>'Classes Data'!F22</f>
        <v>12</v>
      </c>
      <c r="D46" s="10">
        <f>'Classes Data'!F34</f>
        <v>2</v>
      </c>
      <c r="E46" s="25">
        <f>'Classes Data'!F46</f>
        <v>0</v>
      </c>
      <c r="L46" s="6" t="s">
        <v>30</v>
      </c>
      <c r="M46" s="12">
        <f>'Classes Data'!G10</f>
        <v>1106</v>
      </c>
      <c r="N46" s="12">
        <f>'Classes Data'!G22</f>
        <v>3318</v>
      </c>
      <c r="O46" s="12">
        <f>'Classes Data'!G34</f>
        <v>551.5</v>
      </c>
      <c r="P46" s="13">
        <f>'Classes Data'!G46</f>
        <v>0</v>
      </c>
      <c r="X46" s="6" t="s">
        <v>32</v>
      </c>
      <c r="Y46" s="10">
        <f t="shared" ref="Y46:Z46" si="66">Y45+C11</f>
        <v>202</v>
      </c>
      <c r="Z46" s="10">
        <f t="shared" si="66"/>
        <v>156</v>
      </c>
      <c r="AA46" s="10">
        <f t="shared" si="59"/>
        <v>0</v>
      </c>
      <c r="AB46" s="24">
        <f t="shared" si="56"/>
        <v>195</v>
      </c>
      <c r="AC46" s="25">
        <f t="shared" si="57"/>
        <v>218.4</v>
      </c>
    </row>
    <row r="47" spans="1:41">
      <c r="A47" s="6" t="s">
        <v>32</v>
      </c>
      <c r="B47" s="10">
        <f>'Classes Data'!F11</f>
        <v>3</v>
      </c>
      <c r="C47" s="10">
        <f>'Classes Data'!F23</f>
        <v>1</v>
      </c>
      <c r="D47" s="10">
        <f>'Classes Data'!F35</f>
        <v>9</v>
      </c>
      <c r="E47" s="25">
        <f>'Classes Data'!F47</f>
        <v>0</v>
      </c>
      <c r="L47" s="6" t="s">
        <v>32</v>
      </c>
      <c r="M47" s="12">
        <f>'Classes Data'!G11</f>
        <v>829</v>
      </c>
      <c r="N47" s="12">
        <f>'Classes Data'!G23</f>
        <v>275</v>
      </c>
      <c r="O47" s="12">
        <f>'Classes Data'!G35</f>
        <v>2488.5</v>
      </c>
      <c r="P47" s="13">
        <f>'Classes Data'!G47</f>
        <v>0</v>
      </c>
      <c r="X47" s="6" t="s">
        <v>33</v>
      </c>
      <c r="Y47" s="10">
        <f t="shared" ref="Y47:Z47" si="67">Y46+C12</f>
        <v>202</v>
      </c>
      <c r="Z47" s="10">
        <f t="shared" si="67"/>
        <v>173</v>
      </c>
      <c r="AA47" s="10">
        <f t="shared" si="59"/>
        <v>0</v>
      </c>
      <c r="AB47" s="24">
        <f t="shared" si="56"/>
        <v>216.25</v>
      </c>
      <c r="AC47" s="25">
        <f t="shared" si="57"/>
        <v>242.2</v>
      </c>
    </row>
    <row r="48" spans="1:41">
      <c r="A48" s="6" t="s">
        <v>33</v>
      </c>
      <c r="B48" s="10">
        <f>'Classes Data'!F12</f>
        <v>5</v>
      </c>
      <c r="C48" s="10">
        <f>'Classes Data'!F24</f>
        <v>0</v>
      </c>
      <c r="D48" s="10">
        <f>'Classes Data'!F36</f>
        <v>0</v>
      </c>
      <c r="E48" s="25">
        <f>'Classes Data'!F48</f>
        <v>0</v>
      </c>
      <c r="L48" s="6" t="s">
        <v>33</v>
      </c>
      <c r="M48" s="12">
        <f>'Classes Data'!G12</f>
        <v>1382.5</v>
      </c>
      <c r="N48" s="12">
        <f>'Classes Data'!G24</f>
        <v>0</v>
      </c>
      <c r="O48" s="12">
        <f>'Classes Data'!G36</f>
        <v>0</v>
      </c>
      <c r="P48" s="13">
        <f>'Classes Data'!G48</f>
        <v>0</v>
      </c>
      <c r="X48" s="6" t="s">
        <v>34</v>
      </c>
      <c r="Y48" s="10">
        <f t="shared" ref="Y48:Z48" si="68">Y47+C13</f>
        <v>224</v>
      </c>
      <c r="Z48" s="10">
        <f t="shared" si="68"/>
        <v>191</v>
      </c>
      <c r="AA48" s="10">
        <f t="shared" si="59"/>
        <v>0</v>
      </c>
      <c r="AB48" s="24">
        <f t="shared" si="56"/>
        <v>238.75</v>
      </c>
      <c r="AC48" s="25">
        <f t="shared" si="57"/>
        <v>267.39999999999998</v>
      </c>
    </row>
    <row r="49" spans="1:29">
      <c r="A49" s="6" t="s">
        <v>34</v>
      </c>
      <c r="B49" s="10">
        <f>'Classes Data'!F13</f>
        <v>0</v>
      </c>
      <c r="C49" s="10">
        <f>'Classes Data'!F25</f>
        <v>0</v>
      </c>
      <c r="D49" s="10">
        <f>'Classes Data'!F37</f>
        <v>7</v>
      </c>
      <c r="E49" s="25">
        <f>'Classes Data'!F49</f>
        <v>0</v>
      </c>
      <c r="L49" s="6" t="s">
        <v>34</v>
      </c>
      <c r="M49" s="12">
        <f>'Classes Data'!G13</f>
        <v>0</v>
      </c>
      <c r="N49" s="12">
        <f>'Classes Data'!G25</f>
        <v>0</v>
      </c>
      <c r="O49" s="12">
        <f>'Classes Data'!G37</f>
        <v>1725</v>
      </c>
      <c r="P49" s="13">
        <f>'Classes Data'!G49</f>
        <v>0</v>
      </c>
      <c r="X49" s="6" t="s">
        <v>35</v>
      </c>
      <c r="Y49" s="10">
        <f t="shared" ref="Y49:Z49" si="69">Y48+C14</f>
        <v>253</v>
      </c>
      <c r="Z49" s="10">
        <f t="shared" si="69"/>
        <v>214</v>
      </c>
      <c r="AA49" s="10">
        <f t="shared" si="59"/>
        <v>0</v>
      </c>
      <c r="AB49" s="24">
        <f t="shared" si="56"/>
        <v>267.5</v>
      </c>
      <c r="AC49" s="25">
        <f t="shared" si="57"/>
        <v>299.60000000000002</v>
      </c>
    </row>
    <row r="50" spans="1:29">
      <c r="A50" s="6" t="s">
        <v>35</v>
      </c>
      <c r="B50" s="10">
        <f>'Classes Data'!F14</f>
        <v>13</v>
      </c>
      <c r="C50" s="10">
        <f>'Classes Data'!F26</f>
        <v>10</v>
      </c>
      <c r="D50" s="10">
        <f>'Classes Data'!F38</f>
        <v>9</v>
      </c>
      <c r="E50" s="25">
        <f>'Classes Data'!F50</f>
        <v>0</v>
      </c>
      <c r="L50" s="6" t="s">
        <v>35</v>
      </c>
      <c r="M50" s="12">
        <f>'Classes Data'!G14</f>
        <v>3593</v>
      </c>
      <c r="N50" s="12">
        <f>'Classes Data'!G26</f>
        <v>2765</v>
      </c>
      <c r="O50" s="12">
        <f>'Classes Data'!G38</f>
        <v>2712.5</v>
      </c>
      <c r="P50" s="13">
        <f>'Classes Data'!G50</f>
        <v>0</v>
      </c>
      <c r="Z50" s="23">
        <f>(Z49-Y49)/Z49</f>
        <v>-0.1822429906542056</v>
      </c>
    </row>
    <row r="54" spans="1:29">
      <c r="X54" s="91" t="s">
        <v>44</v>
      </c>
      <c r="Y54" s="92"/>
      <c r="Z54" s="92"/>
      <c r="AA54" s="92"/>
      <c r="AB54" s="92"/>
    </row>
    <row r="55" spans="1:29">
      <c r="A55" s="91" t="s">
        <v>45</v>
      </c>
      <c r="B55" s="92"/>
      <c r="C55" s="92"/>
      <c r="D55" s="92"/>
      <c r="E55" s="92"/>
      <c r="F55" s="2"/>
      <c r="G55" s="2"/>
      <c r="H55" s="2"/>
      <c r="I55" s="2"/>
      <c r="J55" s="2"/>
      <c r="K55" s="2"/>
      <c r="L55" s="91" t="s">
        <v>46</v>
      </c>
      <c r="M55" s="92"/>
      <c r="N55" s="92"/>
      <c r="O55" s="92"/>
      <c r="X55" s="6"/>
      <c r="Y55" s="7" t="s">
        <v>14</v>
      </c>
      <c r="Z55" s="7" t="s">
        <v>15</v>
      </c>
      <c r="AA55" s="7" t="s">
        <v>16</v>
      </c>
      <c r="AB55" s="7" t="s">
        <v>17</v>
      </c>
    </row>
    <row r="56" spans="1:29">
      <c r="A56" s="6"/>
      <c r="B56" s="6">
        <v>2023</v>
      </c>
      <c r="C56" s="6">
        <v>2024</v>
      </c>
      <c r="D56" s="6">
        <v>2025</v>
      </c>
      <c r="E56" s="7">
        <v>2026</v>
      </c>
      <c r="L56" s="6"/>
      <c r="M56" s="6">
        <v>2023</v>
      </c>
      <c r="N56" s="6">
        <v>2024</v>
      </c>
      <c r="O56" s="6">
        <v>2025</v>
      </c>
      <c r="P56" s="7">
        <v>2026</v>
      </c>
      <c r="X56" s="6" t="s">
        <v>19</v>
      </c>
      <c r="Y56" s="12"/>
      <c r="Z56" s="12"/>
      <c r="AA56" s="12"/>
      <c r="AB56" s="12">
        <f t="shared" ref="AB56:AB57" si="70">AB74+AB92+AB110+AB128</f>
        <v>0</v>
      </c>
    </row>
    <row r="57" spans="1:29">
      <c r="A57" s="6" t="s">
        <v>19</v>
      </c>
      <c r="B57" s="10">
        <f>'Classes Data'!H4</f>
        <v>0</v>
      </c>
      <c r="C57" s="10">
        <f>'Classes Data'!H15</f>
        <v>2</v>
      </c>
      <c r="D57" s="10">
        <f>'Classes Data'!H27</f>
        <v>1</v>
      </c>
      <c r="E57" s="25">
        <f>'Classes Data'!H39</f>
        <v>4</v>
      </c>
      <c r="L57" s="6" t="s">
        <v>19</v>
      </c>
      <c r="M57" s="12">
        <f>'Classes Data'!I3</f>
        <v>829.5</v>
      </c>
      <c r="N57" s="12">
        <f>'Classes Data'!I15</f>
        <v>553</v>
      </c>
      <c r="O57" s="12">
        <f>'Classes Data'!I27</f>
        <v>0</v>
      </c>
      <c r="P57" s="13">
        <f>'Classes Data'!I39</f>
        <v>1202</v>
      </c>
      <c r="X57" s="6" t="s">
        <v>21</v>
      </c>
      <c r="Y57" s="18">
        <f t="shared" ref="Y57:AA57" si="71">(Y39-Y38)/Y38</f>
        <v>0.78947368421052633</v>
      </c>
      <c r="Z57" s="18">
        <f t="shared" si="71"/>
        <v>1.1666666666666667</v>
      </c>
      <c r="AA57" s="18">
        <f t="shared" si="71"/>
        <v>-1</v>
      </c>
      <c r="AB57" s="12">
        <f t="shared" si="70"/>
        <v>0</v>
      </c>
    </row>
    <row r="58" spans="1:29">
      <c r="A58" s="6" t="s">
        <v>21</v>
      </c>
      <c r="B58" s="10">
        <f>'Classes Data'!H5</f>
        <v>0</v>
      </c>
      <c r="C58" s="10">
        <f>'Classes Data'!H16</f>
        <v>4</v>
      </c>
      <c r="D58" s="10">
        <f>'Classes Data'!H28</f>
        <v>0</v>
      </c>
      <c r="E58" s="25">
        <f>'Classes Data'!H40</f>
        <v>0</v>
      </c>
      <c r="L58" s="6" t="s">
        <v>21</v>
      </c>
      <c r="M58" s="12">
        <f>'Classes Data'!I4</f>
        <v>0</v>
      </c>
      <c r="N58" s="12">
        <f>'Classes Data'!I16</f>
        <v>1106</v>
      </c>
      <c r="O58" s="12">
        <f>'Classes Data'!I28</f>
        <v>0</v>
      </c>
      <c r="P58" s="13">
        <f>'Classes Data'!I40</f>
        <v>0</v>
      </c>
      <c r="X58" s="6" t="s">
        <v>23</v>
      </c>
      <c r="Y58" s="18">
        <f t="shared" ref="Y58:AA58" si="72">(Y40-Y39)/Y39</f>
        <v>0.58823529411764708</v>
      </c>
      <c r="Z58" s="18">
        <f t="shared" si="72"/>
        <v>0.88461538461538458</v>
      </c>
      <c r="AA58" s="18" t="e">
        <f t="shared" si="72"/>
        <v>#DIV/0!</v>
      </c>
      <c r="AB58" s="14">
        <v>18069.5</v>
      </c>
    </row>
    <row r="59" spans="1:29">
      <c r="A59" s="6" t="s">
        <v>23</v>
      </c>
      <c r="B59" s="10">
        <f>'Classes Data'!H6</f>
        <v>0</v>
      </c>
      <c r="C59" s="10">
        <f>'Classes Data'!H17</f>
        <v>0</v>
      </c>
      <c r="D59" s="10">
        <f>'Classes Data'!H29</f>
        <v>11</v>
      </c>
      <c r="E59" s="25">
        <f>'Classes Data'!H41</f>
        <v>0</v>
      </c>
      <c r="L59" s="6" t="s">
        <v>23</v>
      </c>
      <c r="M59" s="12">
        <f>'Classes Data'!I5</f>
        <v>0</v>
      </c>
      <c r="N59" s="12">
        <f>'Classes Data'!I17</f>
        <v>0</v>
      </c>
      <c r="O59" s="12">
        <f>'Classes Data'!I29</f>
        <v>3041.5</v>
      </c>
      <c r="P59" s="13">
        <f>'Classes Data'!I41</f>
        <v>0</v>
      </c>
      <c r="X59" s="6" t="s">
        <v>25</v>
      </c>
      <c r="Y59" s="18">
        <f t="shared" ref="Y59:AA59" si="73">(Y41-Y40)/Y40</f>
        <v>0.68518518518518523</v>
      </c>
      <c r="Z59" s="18">
        <f t="shared" si="73"/>
        <v>4.0816326530612242E-2</v>
      </c>
      <c r="AA59" s="18" t="e">
        <f t="shared" si="73"/>
        <v>#DIV/0!</v>
      </c>
      <c r="AB59" s="14">
        <v>18069.5</v>
      </c>
    </row>
    <row r="60" spans="1:29">
      <c r="A60" s="6" t="s">
        <v>25</v>
      </c>
      <c r="B60" s="10">
        <f>'Classes Data'!H7</f>
        <v>0</v>
      </c>
      <c r="C60" s="10">
        <f>'Classes Data'!H18</f>
        <v>9</v>
      </c>
      <c r="D60" s="10">
        <f>'Classes Data'!H30</f>
        <v>1</v>
      </c>
      <c r="E60" s="25">
        <f>'Classes Data'!H42</f>
        <v>0</v>
      </c>
      <c r="L60" s="6" t="s">
        <v>25</v>
      </c>
      <c r="M60" s="12">
        <f>'Classes Data'!I6</f>
        <v>0</v>
      </c>
      <c r="N60" s="12">
        <f>'Classes Data'!I18</f>
        <v>2488.5</v>
      </c>
      <c r="O60" s="12">
        <f>'Classes Data'!I30</f>
        <v>275</v>
      </c>
      <c r="P60" s="13">
        <f>'Classes Data'!I42</f>
        <v>0</v>
      </c>
      <c r="X60" s="6" t="s">
        <v>27</v>
      </c>
      <c r="Y60" s="18">
        <f t="shared" ref="Y60:AA60" si="74">(Y42-Y41)/Y41</f>
        <v>0.15384615384615385</v>
      </c>
      <c r="Z60" s="18">
        <f t="shared" si="74"/>
        <v>0.29411764705882354</v>
      </c>
      <c r="AA60" s="18" t="e">
        <f t="shared" si="74"/>
        <v>#DIV/0!</v>
      </c>
      <c r="AB60" s="14">
        <v>18069.5</v>
      </c>
    </row>
    <row r="61" spans="1:29">
      <c r="A61" s="6" t="s">
        <v>27</v>
      </c>
      <c r="B61" s="10">
        <f>'Classes Data'!H8</f>
        <v>1</v>
      </c>
      <c r="C61" s="10">
        <f>'Classes Data'!H19</f>
        <v>0</v>
      </c>
      <c r="D61" s="10">
        <f>'Classes Data'!H31</f>
        <v>0</v>
      </c>
      <c r="E61" s="25">
        <f>'Classes Data'!H43</f>
        <v>0</v>
      </c>
      <c r="L61" s="6" t="s">
        <v>27</v>
      </c>
      <c r="M61" s="12">
        <f>'Classes Data'!I7</f>
        <v>0</v>
      </c>
      <c r="N61" s="12">
        <f>'Classes Data'!I19</f>
        <v>0</v>
      </c>
      <c r="O61" s="12">
        <f>'Classes Data'!I31</f>
        <v>0</v>
      </c>
      <c r="P61" s="13">
        <f>'Classes Data'!I43</f>
        <v>0</v>
      </c>
      <c r="X61" s="6" t="s">
        <v>28</v>
      </c>
      <c r="Y61" s="18">
        <f t="shared" ref="Y61:AA61" si="75">(Y43-Y42)/Y42</f>
        <v>0.25714285714285712</v>
      </c>
      <c r="Z61" s="18">
        <f t="shared" si="75"/>
        <v>0.19696969696969696</v>
      </c>
      <c r="AA61" s="18" t="e">
        <f t="shared" si="75"/>
        <v>#DIV/0!</v>
      </c>
      <c r="AB61" s="12">
        <f>AB60*2</f>
        <v>36139</v>
      </c>
    </row>
    <row r="62" spans="1:29">
      <c r="A62" s="6" t="s">
        <v>28</v>
      </c>
      <c r="B62" s="10">
        <f>'Classes Data'!H9</f>
        <v>4</v>
      </c>
      <c r="C62" s="10">
        <f>'Classes Data'!H20</f>
        <v>0</v>
      </c>
      <c r="D62" s="10">
        <f>'Classes Data'!H32</f>
        <v>0</v>
      </c>
      <c r="E62" s="25">
        <f>'Classes Data'!H44</f>
        <v>0</v>
      </c>
      <c r="L62" s="6" t="s">
        <v>28</v>
      </c>
      <c r="M62" s="12">
        <f>'Classes Data'!I8</f>
        <v>276.5</v>
      </c>
      <c r="N62" s="12">
        <f>'Classes Data'!I20</f>
        <v>1935.5</v>
      </c>
      <c r="O62" s="12">
        <f>'Classes Data'!I32</f>
        <v>0</v>
      </c>
      <c r="P62" s="13">
        <f>'Classes Data'!I44</f>
        <v>0</v>
      </c>
      <c r="X62" s="6" t="s">
        <v>29</v>
      </c>
      <c r="Y62" s="18">
        <f t="shared" ref="Y62:AA62" si="76">(Y44-Y43)/Y43</f>
        <v>9.8484848484848481E-2</v>
      </c>
      <c r="Z62" s="18">
        <f t="shared" si="76"/>
        <v>0.45569620253164556</v>
      </c>
      <c r="AA62" s="18" t="e">
        <f t="shared" si="76"/>
        <v>#DIV/0!</v>
      </c>
      <c r="AB62" s="12">
        <f t="shared" ref="AB62:AB63" si="77">AB61</f>
        <v>36139</v>
      </c>
    </row>
    <row r="63" spans="1:29">
      <c r="A63" s="6" t="s">
        <v>29</v>
      </c>
      <c r="B63" s="10">
        <f>'Classes Data'!H10</f>
        <v>3</v>
      </c>
      <c r="C63" s="10">
        <f>'Classes Data'!H21</f>
        <v>3</v>
      </c>
      <c r="D63" s="10">
        <f>'Classes Data'!H33</f>
        <v>1</v>
      </c>
      <c r="E63" s="25">
        <f>'Classes Data'!H45</f>
        <v>0</v>
      </c>
      <c r="L63" s="6" t="s">
        <v>29</v>
      </c>
      <c r="M63" s="12">
        <f>'Classes Data'!I9</f>
        <v>1106</v>
      </c>
      <c r="N63" s="12">
        <f>'Classes Data'!I21</f>
        <v>829.5</v>
      </c>
      <c r="O63" s="12">
        <f>'Classes Data'!I33</f>
        <v>276.5</v>
      </c>
      <c r="P63" s="13">
        <f>'Classes Data'!I45</f>
        <v>0</v>
      </c>
      <c r="X63" s="6" t="s">
        <v>30</v>
      </c>
      <c r="Y63" s="18">
        <f t="shared" ref="Y63:AA63" si="78">(Y45-Y44)/Y44</f>
        <v>0.27586206896551724</v>
      </c>
      <c r="Z63" s="18">
        <f t="shared" si="78"/>
        <v>0.1391304347826087</v>
      </c>
      <c r="AA63" s="18" t="e">
        <f t="shared" si="78"/>
        <v>#DIV/0!</v>
      </c>
      <c r="AB63" s="12">
        <f t="shared" si="77"/>
        <v>36139</v>
      </c>
    </row>
    <row r="64" spans="1:29">
      <c r="A64" s="6" t="s">
        <v>30</v>
      </c>
      <c r="B64" s="10">
        <f>'Classes Data'!H11</f>
        <v>0</v>
      </c>
      <c r="C64" s="10">
        <f>'Classes Data'!H22</f>
        <v>2</v>
      </c>
      <c r="D64" s="10">
        <f>'Classes Data'!H34</f>
        <v>1</v>
      </c>
      <c r="E64" s="25">
        <f>'Classes Data'!H46</f>
        <v>0</v>
      </c>
      <c r="L64" s="6" t="s">
        <v>30</v>
      </c>
      <c r="M64" s="12">
        <f>'Classes Data'!I10</f>
        <v>829.5</v>
      </c>
      <c r="N64" s="12">
        <f>'Classes Data'!I22</f>
        <v>553</v>
      </c>
      <c r="O64" s="12">
        <f>'Classes Data'!I34</f>
        <v>276.5</v>
      </c>
      <c r="P64" s="13">
        <f>'Classes Data'!I46</f>
        <v>0</v>
      </c>
      <c r="X64" s="6" t="s">
        <v>32</v>
      </c>
      <c r="Y64" s="18">
        <f t="shared" ref="Y64:AA64" si="79">(Y46-Y45)/Y45</f>
        <v>9.1891891891891897E-2</v>
      </c>
      <c r="Z64" s="18">
        <f t="shared" si="79"/>
        <v>0.19083969465648856</v>
      </c>
      <c r="AA64" s="18" t="e">
        <f t="shared" si="79"/>
        <v>#DIV/0!</v>
      </c>
      <c r="AB64" s="12">
        <f>AB60*3</f>
        <v>54208.5</v>
      </c>
    </row>
    <row r="65" spans="1:28">
      <c r="A65" s="6" t="s">
        <v>32</v>
      </c>
      <c r="B65" s="10">
        <f>'Classes Data'!H12</f>
        <v>1</v>
      </c>
      <c r="C65" s="10">
        <f>'Classes Data'!H23</f>
        <v>10</v>
      </c>
      <c r="D65" s="10">
        <f>'Classes Data'!H35</f>
        <v>3</v>
      </c>
      <c r="E65" s="25">
        <f>'Classes Data'!H47</f>
        <v>0</v>
      </c>
      <c r="L65" s="6" t="s">
        <v>32</v>
      </c>
      <c r="M65" s="12">
        <f>'Classes Data'!I11</f>
        <v>0</v>
      </c>
      <c r="N65" s="12">
        <f>'Classes Data'!I23</f>
        <v>2763.5</v>
      </c>
      <c r="O65" s="12">
        <f>'Classes Data'!I35</f>
        <v>828</v>
      </c>
      <c r="P65" s="13">
        <f>'Classes Data'!I47</f>
        <v>0</v>
      </c>
      <c r="X65" s="6" t="s">
        <v>33</v>
      </c>
      <c r="Y65" s="18">
        <f t="shared" ref="Y65:AA65" si="80">(Y47-Y46)/Y46</f>
        <v>0</v>
      </c>
      <c r="Z65" s="18">
        <f t="shared" si="80"/>
        <v>0.10897435897435898</v>
      </c>
      <c r="AA65" s="18" t="e">
        <f t="shared" si="80"/>
        <v>#DIV/0!</v>
      </c>
      <c r="AB65" s="12">
        <f t="shared" ref="AB65:AB66" si="81">AB64</f>
        <v>54208.5</v>
      </c>
    </row>
    <row r="66" spans="1:28">
      <c r="A66" s="6" t="s">
        <v>33</v>
      </c>
      <c r="B66" s="10">
        <f>'Classes Data'!H13</f>
        <v>3</v>
      </c>
      <c r="C66" s="10">
        <f>'Classes Data'!H24</f>
        <v>0</v>
      </c>
      <c r="D66" s="10">
        <f>'Classes Data'!H36</f>
        <v>6</v>
      </c>
      <c r="E66" s="25">
        <f>'Classes Data'!H48</f>
        <v>0</v>
      </c>
      <c r="L66" s="6" t="s">
        <v>33</v>
      </c>
      <c r="M66" s="12">
        <f>'Classes Data'!I12</f>
        <v>276.5</v>
      </c>
      <c r="N66" s="12">
        <f>'Classes Data'!I24</f>
        <v>0</v>
      </c>
      <c r="O66" s="12">
        <f>'Classes Data'!I36</f>
        <v>1659</v>
      </c>
      <c r="P66" s="13">
        <f>'Classes Data'!I48</f>
        <v>0</v>
      </c>
      <c r="X66" s="6" t="s">
        <v>34</v>
      </c>
      <c r="Y66" s="18">
        <f t="shared" ref="Y66:Y67" si="82">(Y48-Y47)/Y47</f>
        <v>0.10891089108910891</v>
      </c>
      <c r="Z66" s="12"/>
      <c r="AA66" s="18" t="e">
        <f t="shared" ref="AA66:AA67" si="83">(AA48-AA47)/AA47</f>
        <v>#DIV/0!</v>
      </c>
      <c r="AB66" s="12">
        <f t="shared" si="81"/>
        <v>54208.5</v>
      </c>
    </row>
    <row r="67" spans="1:28">
      <c r="A67" s="6" t="s">
        <v>34</v>
      </c>
      <c r="B67" s="10">
        <f>'Classes Data'!H14</f>
        <v>0</v>
      </c>
      <c r="C67" s="10">
        <f>'Classes Data'!H25</f>
        <v>0</v>
      </c>
      <c r="D67" s="10">
        <f>'Classes Data'!H37</f>
        <v>2</v>
      </c>
      <c r="E67" s="25">
        <f>'Classes Data'!H49</f>
        <v>0</v>
      </c>
      <c r="L67" s="6" t="s">
        <v>34</v>
      </c>
      <c r="M67" s="12">
        <f>'Classes Data'!I13</f>
        <v>829.5</v>
      </c>
      <c r="N67" s="12">
        <f>'Classes Data'!I25</f>
        <v>0</v>
      </c>
      <c r="O67" s="12">
        <f>'Classes Data'!I37</f>
        <v>601</v>
      </c>
      <c r="P67" s="13">
        <f>'Classes Data'!I49</f>
        <v>0</v>
      </c>
      <c r="X67" s="6" t="s">
        <v>35</v>
      </c>
      <c r="Y67" s="18">
        <f t="shared" si="82"/>
        <v>0.12946428571428573</v>
      </c>
      <c r="Z67" s="12"/>
      <c r="AA67" s="18" t="e">
        <f t="shared" si="83"/>
        <v>#DIV/0!</v>
      </c>
      <c r="AB67" s="12">
        <f>Y67</f>
        <v>0.12946428571428573</v>
      </c>
    </row>
    <row r="68" spans="1:28">
      <c r="A68" s="6" t="s">
        <v>35</v>
      </c>
      <c r="B68" s="10">
        <f>'Classes Data'!H15</f>
        <v>2</v>
      </c>
      <c r="C68" s="10">
        <f>'Classes Data'!H26</f>
        <v>6</v>
      </c>
      <c r="D68" s="10">
        <f>'Classes Data'!H38</f>
        <v>3</v>
      </c>
      <c r="E68" s="25">
        <f>'Classes Data'!H50</f>
        <v>0</v>
      </c>
      <c r="L68" s="6" t="s">
        <v>35</v>
      </c>
      <c r="M68" s="12">
        <f>'Classes Data'!I14</f>
        <v>0</v>
      </c>
      <c r="N68" s="12">
        <f>'Classes Data'!I26</f>
        <v>1659</v>
      </c>
      <c r="O68" s="12">
        <f>'Classes Data'!I38</f>
        <v>901.5</v>
      </c>
      <c r="P68" s="13">
        <f>'Classes Data'!I50</f>
        <v>0</v>
      </c>
    </row>
    <row r="73" spans="1:28">
      <c r="A73" s="91" t="s">
        <v>47</v>
      </c>
      <c r="B73" s="92"/>
      <c r="C73" s="92"/>
      <c r="D73" s="92"/>
      <c r="E73" s="92"/>
      <c r="F73" s="2"/>
      <c r="G73" s="2"/>
      <c r="H73" s="2"/>
      <c r="I73" s="2"/>
      <c r="J73" s="2"/>
      <c r="K73" s="2"/>
      <c r="L73" s="91" t="s">
        <v>48</v>
      </c>
      <c r="M73" s="92"/>
      <c r="N73" s="92"/>
      <c r="O73" s="92"/>
    </row>
    <row r="74" spans="1:28">
      <c r="A74" s="6"/>
      <c r="B74" s="6">
        <v>2023</v>
      </c>
      <c r="C74" s="6">
        <v>2024</v>
      </c>
      <c r="D74" s="6">
        <v>2025</v>
      </c>
      <c r="E74" s="7">
        <v>2026</v>
      </c>
      <c r="L74" s="6"/>
      <c r="M74" s="6">
        <v>2023</v>
      </c>
      <c r="N74" s="6">
        <v>2024</v>
      </c>
      <c r="O74" s="6">
        <v>2025</v>
      </c>
      <c r="P74" s="7">
        <v>2026</v>
      </c>
    </row>
    <row r="75" spans="1:28">
      <c r="A75" s="6" t="s">
        <v>19</v>
      </c>
      <c r="B75" s="10">
        <f>'Classes Data'!J3</f>
        <v>0</v>
      </c>
      <c r="C75" s="10">
        <f>'Classes Data'!J15</f>
        <v>0</v>
      </c>
      <c r="D75" s="10">
        <f>'Classes Data'!J27</f>
        <v>0</v>
      </c>
      <c r="E75" s="25">
        <f>'Classes Data'!J39</f>
        <v>-1</v>
      </c>
      <c r="L75" s="6" t="s">
        <v>19</v>
      </c>
      <c r="M75" s="12">
        <f>'Classes Data'!K3</f>
        <v>0</v>
      </c>
      <c r="N75" s="12">
        <f>'Classes Data'!K15</f>
        <v>0</v>
      </c>
      <c r="O75" s="12">
        <f>'Classes Data'!K27</f>
        <v>0</v>
      </c>
      <c r="P75" s="13">
        <f>'Classes Data'!K39</f>
        <v>-300.5</v>
      </c>
    </row>
    <row r="76" spans="1:28">
      <c r="A76" s="6" t="s">
        <v>21</v>
      </c>
      <c r="B76" s="10">
        <f>'Classes Data'!J4</f>
        <v>0</v>
      </c>
      <c r="C76" s="10">
        <f>'Classes Data'!J16</f>
        <v>0</v>
      </c>
      <c r="D76" s="10">
        <f>'Classes Data'!J28</f>
        <v>0</v>
      </c>
      <c r="E76" s="25">
        <f>'Classes Data'!J40</f>
        <v>0</v>
      </c>
      <c r="L76" s="6" t="s">
        <v>21</v>
      </c>
      <c r="M76" s="12">
        <f>'Classes Data'!K4</f>
        <v>0</v>
      </c>
      <c r="N76" s="12">
        <f>'Classes Data'!K16</f>
        <v>0</v>
      </c>
      <c r="O76" s="12">
        <f>'Classes Data'!K28</f>
        <v>0</v>
      </c>
      <c r="P76" s="13">
        <f>'Classes Data'!K40</f>
        <v>0</v>
      </c>
    </row>
    <row r="77" spans="1:28">
      <c r="A77" s="6" t="s">
        <v>23</v>
      </c>
      <c r="B77" s="10">
        <f>'Classes Data'!J5</f>
        <v>4</v>
      </c>
      <c r="C77" s="10">
        <f>'Classes Data'!J17</f>
        <v>0</v>
      </c>
      <c r="D77" s="10">
        <f>'Classes Data'!J29</f>
        <v>0</v>
      </c>
      <c r="E77" s="25">
        <f>'Classes Data'!J41</f>
        <v>0</v>
      </c>
      <c r="L77" s="6" t="s">
        <v>23</v>
      </c>
      <c r="M77" s="12">
        <f>'Classes Data'!K5</f>
        <v>1106</v>
      </c>
      <c r="N77" s="12">
        <f>'Classes Data'!K17</f>
        <v>0</v>
      </c>
      <c r="O77" s="12">
        <f>'Classes Data'!K29</f>
        <v>0</v>
      </c>
      <c r="P77" s="13">
        <f>'Classes Data'!K41</f>
        <v>0</v>
      </c>
    </row>
    <row r="78" spans="1:28">
      <c r="A78" s="6" t="s">
        <v>25</v>
      </c>
      <c r="B78" s="10">
        <f>'Classes Data'!J6</f>
        <v>-3</v>
      </c>
      <c r="C78" s="10">
        <f>'Classes Data'!J18</f>
        <v>0</v>
      </c>
      <c r="D78" s="10">
        <f>'Classes Data'!J30</f>
        <v>0</v>
      </c>
      <c r="E78" s="25">
        <f>'Classes Data'!J42</f>
        <v>0</v>
      </c>
      <c r="L78" s="6" t="s">
        <v>25</v>
      </c>
      <c r="M78" s="12">
        <f>'Classes Data'!K6</f>
        <v>-829.5</v>
      </c>
      <c r="N78" s="12">
        <f>'Classes Data'!K18</f>
        <v>0</v>
      </c>
      <c r="O78" s="12">
        <f>'Classes Data'!K30</f>
        <v>0</v>
      </c>
      <c r="P78" s="13">
        <f>'Classes Data'!K42</f>
        <v>0</v>
      </c>
    </row>
    <row r="79" spans="1:28">
      <c r="A79" s="6" t="s">
        <v>27</v>
      </c>
      <c r="B79" s="10">
        <f>'Classes Data'!J7</f>
        <v>0</v>
      </c>
      <c r="C79" s="10">
        <f>'Classes Data'!J19</f>
        <v>0</v>
      </c>
      <c r="D79" s="10">
        <f>'Classes Data'!J31</f>
        <v>0</v>
      </c>
      <c r="E79" s="25">
        <f>'Classes Data'!J43</f>
        <v>0</v>
      </c>
      <c r="L79" s="6" t="s">
        <v>27</v>
      </c>
      <c r="M79" s="12">
        <f>'Classes Data'!K7</f>
        <v>0</v>
      </c>
      <c r="N79" s="12">
        <f>'Classes Data'!K19</f>
        <v>0</v>
      </c>
      <c r="O79" s="12">
        <f>'Classes Data'!K31</f>
        <v>0</v>
      </c>
      <c r="P79" s="13">
        <f>'Classes Data'!K43</f>
        <v>0</v>
      </c>
    </row>
    <row r="80" spans="1:28">
      <c r="A80" s="6" t="s">
        <v>28</v>
      </c>
      <c r="B80" s="10">
        <f>'Classes Data'!J8</f>
        <v>0</v>
      </c>
      <c r="C80" s="10">
        <f>'Classes Data'!J20</f>
        <v>0</v>
      </c>
      <c r="D80" s="10">
        <f>'Classes Data'!J32</f>
        <v>0</v>
      </c>
      <c r="E80" s="25">
        <f>'Classes Data'!J44</f>
        <v>0</v>
      </c>
      <c r="L80" s="6" t="s">
        <v>28</v>
      </c>
      <c r="M80" s="12">
        <f>'Classes Data'!K8</f>
        <v>0</v>
      </c>
      <c r="N80" s="12">
        <f>'Classes Data'!K20</f>
        <v>0</v>
      </c>
      <c r="O80" s="12">
        <f>'Classes Data'!K32</f>
        <v>0</v>
      </c>
      <c r="P80" s="13">
        <f>'Classes Data'!K44</f>
        <v>0</v>
      </c>
    </row>
    <row r="81" spans="1:16">
      <c r="A81" s="6" t="s">
        <v>29</v>
      </c>
      <c r="B81" s="10">
        <f>'Classes Data'!J9</f>
        <v>0</v>
      </c>
      <c r="C81" s="10">
        <f>'Classes Data'!J21</f>
        <v>0</v>
      </c>
      <c r="D81" s="10">
        <f>'Classes Data'!J33</f>
        <v>12</v>
      </c>
      <c r="E81" s="25">
        <f>'Classes Data'!J45</f>
        <v>0</v>
      </c>
      <c r="L81" s="6" t="s">
        <v>29</v>
      </c>
      <c r="M81" s="12">
        <f>'Classes Data'!K9</f>
        <v>0</v>
      </c>
      <c r="N81" s="12">
        <f>'Classes Data'!K21</f>
        <v>0</v>
      </c>
      <c r="O81" s="12">
        <f>'Classes Data'!K33</f>
        <v>3041.5</v>
      </c>
      <c r="P81" s="13">
        <f>'Classes Data'!K45</f>
        <v>0</v>
      </c>
    </row>
    <row r="82" spans="1:16">
      <c r="A82" s="6" t="s">
        <v>30</v>
      </c>
      <c r="B82" s="10">
        <f>'Classes Data'!J10</f>
        <v>0</v>
      </c>
      <c r="C82" s="10">
        <f>'Classes Data'!J22</f>
        <v>15</v>
      </c>
      <c r="D82" s="10">
        <f>'Classes Data'!J34</f>
        <v>0</v>
      </c>
      <c r="E82" s="25">
        <f>'Classes Data'!J46</f>
        <v>0</v>
      </c>
      <c r="L82" s="6" t="s">
        <v>30</v>
      </c>
      <c r="M82" s="12">
        <f>'Classes Data'!K10</f>
        <v>0</v>
      </c>
      <c r="N82" s="12">
        <f>'Classes Data'!K22</f>
        <v>4143</v>
      </c>
      <c r="O82" s="12">
        <f>'Classes Data'!K34</f>
        <v>0</v>
      </c>
      <c r="P82" s="13">
        <f>'Classes Data'!K46</f>
        <v>0</v>
      </c>
    </row>
    <row r="83" spans="1:16">
      <c r="A83" s="6" t="s">
        <v>32</v>
      </c>
      <c r="B83" s="10">
        <f>'Classes Data'!J11</f>
        <v>0</v>
      </c>
      <c r="C83" s="10">
        <f>'Classes Data'!J23</f>
        <v>0</v>
      </c>
      <c r="D83" s="10">
        <f>'Classes Data'!J35</f>
        <v>0</v>
      </c>
      <c r="E83" s="25">
        <f>'Classes Data'!J47</f>
        <v>0</v>
      </c>
      <c r="L83" s="6" t="s">
        <v>32</v>
      </c>
      <c r="M83" s="12">
        <f>'Classes Data'!K11</f>
        <v>0</v>
      </c>
      <c r="N83" s="12">
        <f>'Classes Data'!K23</f>
        <v>0</v>
      </c>
      <c r="O83" s="12">
        <f>'Classes Data'!K35</f>
        <v>0</v>
      </c>
      <c r="P83" s="13">
        <f>'Classes Data'!K47</f>
        <v>0</v>
      </c>
    </row>
    <row r="84" spans="1:16">
      <c r="A84" s="6" t="s">
        <v>33</v>
      </c>
      <c r="B84" s="10">
        <f>'Classes Data'!J12</f>
        <v>3</v>
      </c>
      <c r="C84" s="10">
        <f>'Classes Data'!J24</f>
        <v>0</v>
      </c>
      <c r="D84" s="10">
        <f>'Classes Data'!J36</f>
        <v>0</v>
      </c>
      <c r="E84" s="25">
        <f>'Classes Data'!J48</f>
        <v>0</v>
      </c>
      <c r="L84" s="6" t="s">
        <v>33</v>
      </c>
      <c r="M84" s="12">
        <f>'Classes Data'!K12</f>
        <v>829.5</v>
      </c>
      <c r="N84" s="12">
        <f>'Classes Data'!K24</f>
        <v>0</v>
      </c>
      <c r="O84" s="12">
        <f>'Classes Data'!K36</f>
        <v>0</v>
      </c>
      <c r="P84" s="13">
        <f>'Classes Data'!K48</f>
        <v>0</v>
      </c>
    </row>
    <row r="85" spans="1:16">
      <c r="A85" s="6" t="s">
        <v>34</v>
      </c>
      <c r="B85" s="10">
        <f>'Classes Data'!J13</f>
        <v>3</v>
      </c>
      <c r="C85" s="10">
        <f>'Classes Data'!J25</f>
        <v>12</v>
      </c>
      <c r="D85" s="10">
        <f>'Classes Data'!J37</f>
        <v>0</v>
      </c>
      <c r="E85" s="25">
        <f>'Classes Data'!J49</f>
        <v>0</v>
      </c>
      <c r="L85" s="6" t="s">
        <v>34</v>
      </c>
      <c r="M85" s="12">
        <f>'Classes Data'!K13</f>
        <v>829.5</v>
      </c>
      <c r="N85" s="12">
        <f>'Classes Data'!K25</f>
        <v>3318</v>
      </c>
      <c r="O85" s="12">
        <f>'Classes Data'!K37</f>
        <v>0</v>
      </c>
      <c r="P85" s="13">
        <f>'Classes Data'!K49</f>
        <v>0</v>
      </c>
    </row>
    <row r="86" spans="1:16">
      <c r="A86" s="6" t="s">
        <v>35</v>
      </c>
      <c r="B86" s="10">
        <f>'Classes Data'!J14</f>
        <v>0</v>
      </c>
      <c r="C86" s="10">
        <f>'Classes Data'!J26</f>
        <v>1</v>
      </c>
      <c r="D86" s="10">
        <f>'Classes Data'!J38</f>
        <v>3</v>
      </c>
      <c r="E86" s="25">
        <f>'Classes Data'!J50</f>
        <v>0</v>
      </c>
      <c r="L86" s="6" t="s">
        <v>35</v>
      </c>
      <c r="M86" s="12">
        <f>'Classes Data'!K14</f>
        <v>0</v>
      </c>
      <c r="N86" s="12">
        <f>'Classes Data'!K26</f>
        <v>275</v>
      </c>
      <c r="O86" s="12">
        <f>'Classes Data'!K38</f>
        <v>901.5</v>
      </c>
      <c r="P86" s="13">
        <f>'Classes Data'!K50</f>
        <v>0</v>
      </c>
    </row>
    <row r="91" spans="1:16">
      <c r="A91" s="93" t="s">
        <v>49</v>
      </c>
      <c r="B91" s="92"/>
      <c r="C91" s="92"/>
      <c r="D91" s="92"/>
      <c r="E91" s="92"/>
    </row>
    <row r="92" spans="1:16">
      <c r="A92" s="6"/>
      <c r="B92" s="6">
        <v>2023</v>
      </c>
      <c r="C92" s="6">
        <v>2024</v>
      </c>
      <c r="D92" s="6">
        <v>2025</v>
      </c>
      <c r="E92" s="7">
        <v>2026</v>
      </c>
    </row>
    <row r="93" spans="1:16">
      <c r="A93" s="6" t="s">
        <v>19</v>
      </c>
      <c r="B93" s="10"/>
      <c r="C93" s="10"/>
      <c r="D93" s="10">
        <f>'Classes Data'!J45</f>
        <v>0</v>
      </c>
      <c r="E93" s="1">
        <f>119-30</f>
        <v>89</v>
      </c>
    </row>
    <row r="94" spans="1:16">
      <c r="A94" s="6" t="s">
        <v>21</v>
      </c>
      <c r="B94" s="10"/>
      <c r="C94" s="10"/>
      <c r="D94" s="10">
        <f>'Classes Data'!J46</f>
        <v>0</v>
      </c>
      <c r="E94" s="25">
        <f>'Classes Data'!J58</f>
        <v>0</v>
      </c>
    </row>
    <row r="95" spans="1:16">
      <c r="A95" s="6" t="s">
        <v>23</v>
      </c>
      <c r="B95" s="10"/>
      <c r="C95" s="10"/>
      <c r="D95" s="10">
        <f>'Classes Data'!J47</f>
        <v>0</v>
      </c>
      <c r="E95" s="25">
        <f>'Classes Data'!J59</f>
        <v>0</v>
      </c>
    </row>
    <row r="96" spans="1:16">
      <c r="A96" s="6" t="s">
        <v>25</v>
      </c>
      <c r="B96" s="10"/>
      <c r="C96" s="10"/>
      <c r="D96" s="10">
        <f>'Classes Data'!J48</f>
        <v>0</v>
      </c>
      <c r="E96" s="25">
        <f>'Classes Data'!J60</f>
        <v>0</v>
      </c>
    </row>
    <row r="97" spans="1:5">
      <c r="A97" s="6" t="s">
        <v>27</v>
      </c>
      <c r="B97" s="10"/>
      <c r="C97" s="10"/>
      <c r="D97" s="10">
        <f>'Classes Data'!J49</f>
        <v>0</v>
      </c>
      <c r="E97" s="25">
        <f>'Classes Data'!J61</f>
        <v>0</v>
      </c>
    </row>
    <row r="98" spans="1:5">
      <c r="A98" s="6" t="s">
        <v>28</v>
      </c>
      <c r="B98" s="10"/>
      <c r="C98" s="10"/>
      <c r="D98" s="10">
        <f>'Classes Data'!J50</f>
        <v>0</v>
      </c>
      <c r="E98" s="25">
        <f>'Classes Data'!J62</f>
        <v>0</v>
      </c>
    </row>
    <row r="99" spans="1:5">
      <c r="A99" s="6" t="s">
        <v>29</v>
      </c>
      <c r="B99" s="10"/>
      <c r="C99" s="10"/>
      <c r="D99" s="10">
        <f>'Classes Data'!J51</f>
        <v>0</v>
      </c>
      <c r="E99" s="25">
        <f>'Classes Data'!J63</f>
        <v>0</v>
      </c>
    </row>
    <row r="100" spans="1:5">
      <c r="A100" s="6" t="s">
        <v>30</v>
      </c>
      <c r="B100" s="10">
        <f>'Classes Data'!J28</f>
        <v>0</v>
      </c>
      <c r="C100" s="10">
        <f>'Classes Data'!J40</f>
        <v>0</v>
      </c>
      <c r="D100" s="10">
        <f>'Classes Data'!J52</f>
        <v>0</v>
      </c>
      <c r="E100" s="25">
        <f>'Classes Data'!J64</f>
        <v>0</v>
      </c>
    </row>
    <row r="101" spans="1:5">
      <c r="A101" s="6" t="s">
        <v>32</v>
      </c>
      <c r="B101" s="10">
        <f>'Classes Data'!J29</f>
        <v>0</v>
      </c>
      <c r="C101" s="10">
        <f>'Classes Data'!J41</f>
        <v>0</v>
      </c>
      <c r="D101" s="10">
        <f>'Classes Data'!J53</f>
        <v>0</v>
      </c>
      <c r="E101" s="25">
        <f>'Classes Data'!J65</f>
        <v>0</v>
      </c>
    </row>
    <row r="102" spans="1:5">
      <c r="A102" s="6" t="s">
        <v>33</v>
      </c>
      <c r="B102" s="10">
        <f>'Classes Data'!J30</f>
        <v>0</v>
      </c>
      <c r="C102" s="10">
        <f>'Classes Data'!J42</f>
        <v>0</v>
      </c>
      <c r="D102" s="10">
        <f>'Classes Data'!J54</f>
        <v>0</v>
      </c>
      <c r="E102" s="25">
        <f>'Classes Data'!J66</f>
        <v>0</v>
      </c>
    </row>
    <row r="103" spans="1:5">
      <c r="A103" s="6" t="s">
        <v>34</v>
      </c>
      <c r="B103" s="10">
        <f>'Classes Data'!J31</f>
        <v>0</v>
      </c>
      <c r="C103" s="10">
        <f>'Classes Data'!J43</f>
        <v>0</v>
      </c>
      <c r="D103" s="10">
        <f>'Classes Data'!J55</f>
        <v>0</v>
      </c>
      <c r="E103" s="25">
        <f>'Classes Data'!J67</f>
        <v>0</v>
      </c>
    </row>
    <row r="104" spans="1:5">
      <c r="A104" s="6" t="s">
        <v>35</v>
      </c>
      <c r="B104" s="10">
        <f>'Classes Data'!J32</f>
        <v>0</v>
      </c>
      <c r="C104" s="10">
        <f>'Classes Data'!J44</f>
        <v>0</v>
      </c>
      <c r="D104" s="10">
        <f>'Classes Data'!J56</f>
        <v>0</v>
      </c>
      <c r="E104" s="25">
        <f>'Classes Data'!J68</f>
        <v>0</v>
      </c>
    </row>
  </sheetData>
  <mergeCells count="19">
    <mergeCell ref="A91:E91"/>
    <mergeCell ref="X19:AB19"/>
    <mergeCell ref="AK19:AN19"/>
    <mergeCell ref="AK28:AN28"/>
    <mergeCell ref="X36:AB36"/>
    <mergeCell ref="L37:O37"/>
    <mergeCell ref="X54:AB54"/>
    <mergeCell ref="A37:E37"/>
    <mergeCell ref="A19:E19"/>
    <mergeCell ref="L19:P19"/>
    <mergeCell ref="L55:O55"/>
    <mergeCell ref="L73:O73"/>
    <mergeCell ref="A55:E55"/>
    <mergeCell ref="A73:E73"/>
    <mergeCell ref="A1:E1"/>
    <mergeCell ref="L1:P1"/>
    <mergeCell ref="X1:AB1"/>
    <mergeCell ref="AK1:AN1"/>
    <mergeCell ref="AK10:AN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3"/>
  <sheetViews>
    <sheetView workbookViewId="0"/>
  </sheetViews>
  <sheetFormatPr defaultColWidth="12.6640625" defaultRowHeight="15" customHeight="1"/>
  <sheetData>
    <row r="1" spans="1:6">
      <c r="A1" s="94" t="s">
        <v>10</v>
      </c>
      <c r="B1" s="92"/>
      <c r="C1" s="92"/>
      <c r="D1" s="92"/>
      <c r="E1" s="92"/>
      <c r="F1" s="92"/>
    </row>
    <row r="2" spans="1:6">
      <c r="A2" s="26"/>
      <c r="B2" s="26">
        <v>2023</v>
      </c>
      <c r="C2" s="26">
        <v>2024</v>
      </c>
      <c r="D2" s="26">
        <v>2025</v>
      </c>
      <c r="E2" s="27">
        <v>2026</v>
      </c>
      <c r="F2" s="26" t="s">
        <v>13</v>
      </c>
    </row>
    <row r="3" spans="1:6">
      <c r="A3" s="26" t="s">
        <v>19</v>
      </c>
      <c r="B3" s="13">
        <f>'Classes Data'!V3</f>
        <v>9676</v>
      </c>
      <c r="C3" s="13">
        <f>'Classes Data'!V15</f>
        <v>5348.5</v>
      </c>
      <c r="D3" s="13">
        <f>'Classes Data'!V27</f>
        <v>2763.5</v>
      </c>
      <c r="E3" s="13">
        <f>'Classes Data'!V39</f>
        <v>16730.5</v>
      </c>
      <c r="F3" s="13">
        <v>5253.5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000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2.6640625" defaultRowHeight="15" customHeight="1"/>
  <cols>
    <col min="1" max="1" width="9.109375" customWidth="1"/>
    <col min="2" max="3" width="8.6640625" customWidth="1"/>
    <col min="4" max="11" width="10.109375" customWidth="1"/>
    <col min="12" max="21" width="8.88671875" customWidth="1"/>
    <col min="22" max="22" width="10.109375" customWidth="1"/>
    <col min="23" max="23" width="25.77734375" customWidth="1"/>
    <col min="24" max="28" width="10.109375" customWidth="1"/>
    <col min="29" max="29" width="8.88671875" customWidth="1"/>
    <col min="30" max="32" width="8.6640625" customWidth="1"/>
    <col min="33" max="36" width="10.109375" customWidth="1"/>
    <col min="37" max="37" width="8.6640625" customWidth="1"/>
    <col min="38" max="40" width="10.109375" customWidth="1"/>
    <col min="41" max="42" width="8.6640625" customWidth="1"/>
    <col min="43" max="45" width="10.109375" customWidth="1"/>
    <col min="46" max="47" width="8.6640625" customWidth="1"/>
    <col min="48" max="50" width="10.109375" customWidth="1"/>
  </cols>
  <sheetData>
    <row r="1" spans="1:36" ht="14.25" customHeight="1">
      <c r="A1" s="28"/>
      <c r="B1" s="28"/>
      <c r="C1" s="28"/>
      <c r="D1" s="97" t="s">
        <v>50</v>
      </c>
      <c r="E1" s="87"/>
      <c r="F1" s="98" t="str">
        <f>'Raw Data'!E1</f>
        <v>Level 2</v>
      </c>
      <c r="G1" s="87"/>
      <c r="H1" s="98" t="str">
        <f>'Raw Data'!F1</f>
        <v>Level 3</v>
      </c>
      <c r="I1" s="87"/>
      <c r="J1" s="98" t="str">
        <f>'Raw Data'!G1</f>
        <v>Level 4</v>
      </c>
      <c r="K1" s="87"/>
      <c r="L1" s="95" t="s">
        <v>51</v>
      </c>
      <c r="M1" s="87"/>
      <c r="N1" s="99" t="str">
        <f>'Raw Data'!H1</f>
        <v>HIS Showcase</v>
      </c>
      <c r="O1" s="87"/>
      <c r="P1" s="95" t="s">
        <v>52</v>
      </c>
      <c r="Q1" s="87"/>
      <c r="R1" s="95" t="s">
        <v>53</v>
      </c>
      <c r="S1" s="87"/>
      <c r="T1" s="95" t="s">
        <v>54</v>
      </c>
      <c r="U1" s="87"/>
      <c r="V1" s="29"/>
      <c r="W1" s="29"/>
      <c r="X1" s="30"/>
      <c r="Y1" s="96" t="s">
        <v>55</v>
      </c>
      <c r="Z1" s="89"/>
      <c r="AA1" s="89"/>
      <c r="AB1" s="89"/>
      <c r="AC1" s="89"/>
      <c r="AD1" s="90"/>
      <c r="AJ1" s="30"/>
    </row>
    <row r="2" spans="1:36" ht="14.25" customHeight="1">
      <c r="A2" s="28" t="str">
        <f>'Raw Data'!A1</f>
        <v>Date</v>
      </c>
      <c r="B2" s="28" t="str">
        <f>'Raw Data'!B1</f>
        <v>Month</v>
      </c>
      <c r="C2" s="28" t="str">
        <f>'Raw Data'!C1</f>
        <v>Year</v>
      </c>
      <c r="D2" s="31" t="s">
        <v>56</v>
      </c>
      <c r="E2" s="32" t="s">
        <v>57</v>
      </c>
      <c r="F2" s="31" t="s">
        <v>56</v>
      </c>
      <c r="G2" s="32" t="s">
        <v>57</v>
      </c>
      <c r="H2" s="31" t="s">
        <v>56</v>
      </c>
      <c r="I2" s="32" t="s">
        <v>57</v>
      </c>
      <c r="J2" s="31" t="s">
        <v>56</v>
      </c>
      <c r="K2" s="32" t="s">
        <v>57</v>
      </c>
      <c r="L2" s="33" t="s">
        <v>56</v>
      </c>
      <c r="M2" s="34" t="s">
        <v>57</v>
      </c>
      <c r="N2" s="33" t="s">
        <v>56</v>
      </c>
      <c r="O2" s="34" t="s">
        <v>57</v>
      </c>
      <c r="P2" s="33" t="s">
        <v>56</v>
      </c>
      <c r="Q2" s="34" t="s">
        <v>57</v>
      </c>
      <c r="R2" s="33" t="s">
        <v>56</v>
      </c>
      <c r="S2" s="34" t="s">
        <v>57</v>
      </c>
      <c r="T2" s="33" t="s">
        <v>56</v>
      </c>
      <c r="U2" s="34" t="s">
        <v>57</v>
      </c>
      <c r="V2" s="35" t="s">
        <v>58</v>
      </c>
      <c r="W2" s="36" t="s">
        <v>59</v>
      </c>
      <c r="Y2" s="37" t="s">
        <v>50</v>
      </c>
      <c r="Z2" s="37" t="s">
        <v>60</v>
      </c>
      <c r="AA2" s="37" t="s">
        <v>61</v>
      </c>
      <c r="AB2" s="37" t="s">
        <v>62</v>
      </c>
      <c r="AC2" s="37" t="s">
        <v>63</v>
      </c>
      <c r="AD2" s="37" t="s">
        <v>58</v>
      </c>
    </row>
    <row r="3" spans="1:36" ht="14.25" customHeight="1">
      <c r="A3" s="38">
        <f>'Raw Data'!A2</f>
        <v>44927</v>
      </c>
      <c r="B3" s="39" t="str">
        <f>'Raw Data'!B2</f>
        <v>Jan</v>
      </c>
      <c r="C3" s="40">
        <f>'Raw Data'!C2</f>
        <v>2023</v>
      </c>
      <c r="D3" s="41">
        <v>19</v>
      </c>
      <c r="E3" s="42">
        <f>'Raw Data'!D2</f>
        <v>5253.5</v>
      </c>
      <c r="F3" s="41">
        <v>12</v>
      </c>
      <c r="G3" s="42">
        <f>'Raw Data'!E2</f>
        <v>3318</v>
      </c>
      <c r="H3" s="41">
        <v>3</v>
      </c>
      <c r="I3" s="42">
        <f>'Raw Data'!F2</f>
        <v>829.5</v>
      </c>
      <c r="J3" s="43"/>
      <c r="K3" s="42">
        <f>'Raw Data'!G2</f>
        <v>0</v>
      </c>
      <c r="L3" s="44"/>
      <c r="M3" s="44"/>
      <c r="N3" s="41">
        <v>55</v>
      </c>
      <c r="O3" s="42">
        <f>'Raw Data'!H2</f>
        <v>275</v>
      </c>
      <c r="P3" s="42"/>
      <c r="Q3" s="42"/>
      <c r="R3" s="42"/>
      <c r="S3" s="42"/>
      <c r="T3" s="42"/>
      <c r="U3" s="42"/>
      <c r="V3" s="45">
        <f t="shared" ref="V3:V38" si="0">SUM(E3+G3+I3+K3+M3+O3)</f>
        <v>9676</v>
      </c>
      <c r="W3" s="46"/>
      <c r="Y3" s="47"/>
      <c r="Z3" s="48"/>
      <c r="AA3" s="48"/>
      <c r="AB3" s="48"/>
      <c r="AC3" s="48"/>
      <c r="AD3" s="47"/>
      <c r="AJ3" s="12"/>
    </row>
    <row r="4" spans="1:36" ht="14.25" customHeight="1">
      <c r="A4" s="49">
        <f>'Raw Data'!A3</f>
        <v>44958</v>
      </c>
      <c r="B4" s="50" t="str">
        <f>'Raw Data'!B3</f>
        <v>Feb</v>
      </c>
      <c r="C4" s="26">
        <f>'Raw Data'!C3</f>
        <v>2023</v>
      </c>
      <c r="D4" s="51">
        <v>10</v>
      </c>
      <c r="E4" s="52">
        <f>'Raw Data'!D3</f>
        <v>2765</v>
      </c>
      <c r="F4" s="53"/>
      <c r="G4" s="52">
        <f>'Raw Data'!E3</f>
        <v>0</v>
      </c>
      <c r="H4" s="51"/>
      <c r="I4" s="52">
        <f>'Raw Data'!F3</f>
        <v>0</v>
      </c>
      <c r="J4" s="53"/>
      <c r="K4" s="52">
        <f>'Raw Data'!G3</f>
        <v>0</v>
      </c>
      <c r="L4" s="54"/>
      <c r="M4" s="54"/>
      <c r="N4" s="53"/>
      <c r="O4" s="52">
        <f>'Raw Data'!H3</f>
        <v>0</v>
      </c>
      <c r="P4" s="52"/>
      <c r="Q4" s="52"/>
      <c r="R4" s="52"/>
      <c r="S4" s="52"/>
      <c r="T4" s="52"/>
      <c r="U4" s="52"/>
      <c r="V4" s="55">
        <f t="shared" si="0"/>
        <v>2765</v>
      </c>
      <c r="W4" s="56"/>
      <c r="X4" s="57"/>
      <c r="Y4" s="58">
        <f t="shared" ref="Y4:Y38" si="1">IFERROR((E4-E3)/E3,"")</f>
        <v>-0.47368421052631576</v>
      </c>
      <c r="Z4" s="58">
        <f t="shared" ref="Z4:Z38" si="2">IFERROR((G4-G3)/G3,"")</f>
        <v>-1</v>
      </c>
      <c r="AA4" s="58">
        <f t="shared" ref="AA4:AA38" si="3">IFERROR((I4-I3)/I3,"")</f>
        <v>-1</v>
      </c>
      <c r="AB4" s="58" t="str">
        <f t="shared" ref="AB4:AB38" si="4">IFERROR((K4-K3)/K3,"")</f>
        <v/>
      </c>
      <c r="AC4" s="58">
        <f t="shared" ref="AC4:AC38" si="5">IFERROR((O4-O3)/O3,"")</f>
        <v>-1</v>
      </c>
      <c r="AD4" s="58">
        <f t="shared" ref="AD4:AD38" si="6">IFERROR((V4-V3)/V3,"")</f>
        <v>-0.71424142207523766</v>
      </c>
      <c r="AJ4" s="12"/>
    </row>
    <row r="5" spans="1:36" ht="14.25" customHeight="1">
      <c r="A5" s="49">
        <f>'Raw Data'!A4</f>
        <v>44986</v>
      </c>
      <c r="B5" s="50" t="str">
        <f>'Raw Data'!B4</f>
        <v>Mar</v>
      </c>
      <c r="C5" s="26">
        <f>'Raw Data'!C4</f>
        <v>2023</v>
      </c>
      <c r="D5" s="51">
        <v>16</v>
      </c>
      <c r="E5" s="52">
        <f>'Raw Data'!D4</f>
        <v>4424</v>
      </c>
      <c r="F5" s="51">
        <v>13</v>
      </c>
      <c r="G5" s="52">
        <f>'Raw Data'!E4</f>
        <v>3595</v>
      </c>
      <c r="H5" s="53"/>
      <c r="I5" s="52">
        <f>'Raw Data'!F4</f>
        <v>0</v>
      </c>
      <c r="J5" s="51">
        <v>4</v>
      </c>
      <c r="K5" s="52">
        <f>'Raw Data'!G4</f>
        <v>1106</v>
      </c>
      <c r="L5" s="59"/>
      <c r="M5" s="59"/>
      <c r="N5" s="51">
        <v>85</v>
      </c>
      <c r="O5" s="52">
        <f>'Raw Data'!H4</f>
        <v>425</v>
      </c>
      <c r="P5" s="52"/>
      <c r="Q5" s="52"/>
      <c r="R5" s="52"/>
      <c r="S5" s="52"/>
      <c r="T5" s="52"/>
      <c r="U5" s="52"/>
      <c r="V5" s="55">
        <f t="shared" si="0"/>
        <v>9550</v>
      </c>
      <c r="W5" s="56"/>
      <c r="X5" s="57"/>
      <c r="Y5" s="58">
        <f t="shared" si="1"/>
        <v>0.6</v>
      </c>
      <c r="Z5" s="58" t="str">
        <f t="shared" si="2"/>
        <v/>
      </c>
      <c r="AA5" s="58" t="str">
        <f t="shared" si="3"/>
        <v/>
      </c>
      <c r="AB5" s="58" t="str">
        <f t="shared" si="4"/>
        <v/>
      </c>
      <c r="AC5" s="58" t="str">
        <f t="shared" si="5"/>
        <v/>
      </c>
      <c r="AD5" s="58">
        <f t="shared" si="6"/>
        <v>2.453887884267631</v>
      </c>
      <c r="AJ5" s="12"/>
    </row>
    <row r="6" spans="1:36" ht="14.25" customHeight="1">
      <c r="A6" s="49">
        <f>'Raw Data'!A5</f>
        <v>45017</v>
      </c>
      <c r="B6" s="50" t="str">
        <f>'Raw Data'!B5</f>
        <v>Apr</v>
      </c>
      <c r="C6" s="26">
        <f>'Raw Data'!C5</f>
        <v>2023</v>
      </c>
      <c r="D6" s="51">
        <v>8</v>
      </c>
      <c r="E6" s="52">
        <f>'Raw Data'!D5</f>
        <v>2212</v>
      </c>
      <c r="F6" s="51">
        <v>0</v>
      </c>
      <c r="G6" s="52">
        <f>'Raw Data'!E5</f>
        <v>0</v>
      </c>
      <c r="H6" s="53"/>
      <c r="I6" s="52">
        <f>'Raw Data'!F5</f>
        <v>0</v>
      </c>
      <c r="J6" s="51">
        <v>-3</v>
      </c>
      <c r="K6" s="52">
        <f>'Raw Data'!G5</f>
        <v>-829.5</v>
      </c>
      <c r="L6" s="59"/>
      <c r="M6" s="59"/>
      <c r="N6" s="51">
        <v>22</v>
      </c>
      <c r="O6" s="52">
        <f>'Raw Data'!H5</f>
        <v>110</v>
      </c>
      <c r="P6" s="52"/>
      <c r="Q6" s="52"/>
      <c r="R6" s="52"/>
      <c r="S6" s="52"/>
      <c r="T6" s="52"/>
      <c r="U6" s="52"/>
      <c r="V6" s="55">
        <f t="shared" si="0"/>
        <v>1492.5</v>
      </c>
      <c r="W6" s="60" t="s">
        <v>64</v>
      </c>
      <c r="X6" s="57"/>
      <c r="Y6" s="58">
        <f t="shared" si="1"/>
        <v>-0.5</v>
      </c>
      <c r="Z6" s="58">
        <f t="shared" si="2"/>
        <v>-1</v>
      </c>
      <c r="AA6" s="58" t="str">
        <f t="shared" si="3"/>
        <v/>
      </c>
      <c r="AB6" s="58">
        <f t="shared" si="4"/>
        <v>-1.75</v>
      </c>
      <c r="AC6" s="58">
        <f t="shared" si="5"/>
        <v>-0.74117647058823533</v>
      </c>
      <c r="AD6" s="58">
        <f t="shared" si="6"/>
        <v>-0.84371727748691094</v>
      </c>
      <c r="AJ6" s="12"/>
    </row>
    <row r="7" spans="1:36" ht="14.25" customHeight="1">
      <c r="A7" s="49">
        <f>'Raw Data'!A6</f>
        <v>45047</v>
      </c>
      <c r="B7" s="50" t="str">
        <f>'Raw Data'!B6</f>
        <v>May</v>
      </c>
      <c r="C7" s="26">
        <f>'Raw Data'!C6</f>
        <v>2023</v>
      </c>
      <c r="D7" s="51">
        <v>12</v>
      </c>
      <c r="E7" s="52">
        <f>'Raw Data'!D6</f>
        <v>3318</v>
      </c>
      <c r="F7" s="51">
        <v>13</v>
      </c>
      <c r="G7" s="52">
        <f>'Raw Data'!E6</f>
        <v>3494.5</v>
      </c>
      <c r="H7" s="53"/>
      <c r="I7" s="52">
        <f>'Raw Data'!F6</f>
        <v>0</v>
      </c>
      <c r="J7" s="53"/>
      <c r="K7" s="52">
        <f>'Raw Data'!G6</f>
        <v>0</v>
      </c>
      <c r="L7" s="59"/>
      <c r="M7" s="59"/>
      <c r="N7" s="51">
        <v>50</v>
      </c>
      <c r="O7" s="52">
        <f>'Raw Data'!H6</f>
        <v>250</v>
      </c>
      <c r="P7" s="52"/>
      <c r="Q7" s="52"/>
      <c r="R7" s="52"/>
      <c r="S7" s="52"/>
      <c r="T7" s="52"/>
      <c r="U7" s="52"/>
      <c r="V7" s="55">
        <f t="shared" si="0"/>
        <v>7062.5</v>
      </c>
      <c r="W7" s="56"/>
      <c r="X7" s="57"/>
      <c r="Y7" s="58">
        <f t="shared" si="1"/>
        <v>0.5</v>
      </c>
      <c r="Z7" s="58" t="str">
        <f t="shared" si="2"/>
        <v/>
      </c>
      <c r="AA7" s="58" t="str">
        <f t="shared" si="3"/>
        <v/>
      </c>
      <c r="AB7" s="58">
        <f t="shared" si="4"/>
        <v>-1</v>
      </c>
      <c r="AC7" s="58">
        <f t="shared" si="5"/>
        <v>1.2727272727272727</v>
      </c>
      <c r="AD7" s="58">
        <f t="shared" si="6"/>
        <v>3.7319932998324958</v>
      </c>
      <c r="AJ7" s="12"/>
    </row>
    <row r="8" spans="1:36" ht="14.25" customHeight="1">
      <c r="A8" s="49">
        <f>'Raw Data'!A7</f>
        <v>45078</v>
      </c>
      <c r="B8" s="50" t="str">
        <f>'Raw Data'!B7</f>
        <v>Jun</v>
      </c>
      <c r="C8" s="26">
        <f>'Raw Data'!C7</f>
        <v>2023</v>
      </c>
      <c r="D8" s="51">
        <v>8</v>
      </c>
      <c r="E8" s="52">
        <f>'Raw Data'!D7</f>
        <v>2212</v>
      </c>
      <c r="F8" s="53"/>
      <c r="G8" s="52">
        <f>'Raw Data'!E7</f>
        <v>0</v>
      </c>
      <c r="H8" s="51">
        <v>1</v>
      </c>
      <c r="I8" s="52">
        <f>'Raw Data'!F7</f>
        <v>276.5</v>
      </c>
      <c r="J8" s="53"/>
      <c r="K8" s="52">
        <f>'Raw Data'!G7</f>
        <v>0</v>
      </c>
      <c r="L8" s="59"/>
      <c r="M8" s="59"/>
      <c r="N8" s="51">
        <v>14</v>
      </c>
      <c r="O8" s="52">
        <f>'Raw Data'!H7</f>
        <v>70</v>
      </c>
      <c r="P8" s="52"/>
      <c r="Q8" s="52"/>
      <c r="R8" s="52"/>
      <c r="S8" s="52"/>
      <c r="T8" s="52"/>
      <c r="U8" s="52"/>
      <c r="V8" s="55">
        <f t="shared" si="0"/>
        <v>2558.5</v>
      </c>
      <c r="W8" s="60" t="s">
        <v>65</v>
      </c>
      <c r="X8" s="57"/>
      <c r="Y8" s="58">
        <f t="shared" si="1"/>
        <v>-0.33333333333333331</v>
      </c>
      <c r="Z8" s="58">
        <f t="shared" si="2"/>
        <v>-1</v>
      </c>
      <c r="AA8" s="58" t="str">
        <f t="shared" si="3"/>
        <v/>
      </c>
      <c r="AB8" s="58" t="str">
        <f t="shared" si="4"/>
        <v/>
      </c>
      <c r="AC8" s="58">
        <f t="shared" si="5"/>
        <v>-0.72</v>
      </c>
      <c r="AD8" s="58">
        <f t="shared" si="6"/>
        <v>-0.63773451327433628</v>
      </c>
      <c r="AJ8" s="12"/>
    </row>
    <row r="9" spans="1:36" ht="14.25" customHeight="1">
      <c r="A9" s="49">
        <f>'Raw Data'!A8</f>
        <v>45108</v>
      </c>
      <c r="B9" s="50" t="str">
        <f>'Raw Data'!B8</f>
        <v>Jul</v>
      </c>
      <c r="C9" s="26">
        <f>'Raw Data'!C8</f>
        <v>2023</v>
      </c>
      <c r="D9" s="51">
        <v>7</v>
      </c>
      <c r="E9" s="52">
        <f>'Raw Data'!D8</f>
        <v>1935.5</v>
      </c>
      <c r="F9" s="51">
        <v>8</v>
      </c>
      <c r="G9" s="52">
        <f>'Raw Data'!E8</f>
        <v>2212</v>
      </c>
      <c r="H9" s="51">
        <v>4</v>
      </c>
      <c r="I9" s="52">
        <f>'Raw Data'!F8</f>
        <v>1106</v>
      </c>
      <c r="J9" s="53"/>
      <c r="K9" s="52">
        <f>'Raw Data'!G8</f>
        <v>0</v>
      </c>
      <c r="L9" s="59"/>
      <c r="M9" s="59"/>
      <c r="N9" s="51">
        <v>18</v>
      </c>
      <c r="O9" s="52">
        <f>'Raw Data'!H8</f>
        <v>90</v>
      </c>
      <c r="P9" s="52"/>
      <c r="Q9" s="52"/>
      <c r="R9" s="52"/>
      <c r="S9" s="52"/>
      <c r="T9" s="52"/>
      <c r="U9" s="52"/>
      <c r="V9" s="55">
        <f t="shared" si="0"/>
        <v>5343.5</v>
      </c>
      <c r="W9" s="56"/>
      <c r="X9" s="57"/>
      <c r="Y9" s="58">
        <f t="shared" si="1"/>
        <v>-0.125</v>
      </c>
      <c r="Z9" s="58" t="str">
        <f t="shared" si="2"/>
        <v/>
      </c>
      <c r="AA9" s="58">
        <f t="shared" si="3"/>
        <v>3</v>
      </c>
      <c r="AB9" s="58" t="str">
        <f t="shared" si="4"/>
        <v/>
      </c>
      <c r="AC9" s="58">
        <f t="shared" si="5"/>
        <v>0.2857142857142857</v>
      </c>
      <c r="AD9" s="58">
        <f t="shared" si="6"/>
        <v>1.0885284346296658</v>
      </c>
      <c r="AJ9" s="12"/>
    </row>
    <row r="10" spans="1:36" ht="14.25" customHeight="1">
      <c r="A10" s="49">
        <f>'Raw Data'!A9</f>
        <v>45139</v>
      </c>
      <c r="B10" s="50" t="str">
        <f>'Raw Data'!B9</f>
        <v>Aug</v>
      </c>
      <c r="C10" s="26">
        <f>'Raw Data'!C9</f>
        <v>2023</v>
      </c>
      <c r="D10" s="51">
        <v>15</v>
      </c>
      <c r="E10" s="52">
        <f>'Raw Data'!D9</f>
        <v>4146</v>
      </c>
      <c r="F10" s="51">
        <v>4</v>
      </c>
      <c r="G10" s="52">
        <f>'Raw Data'!E9</f>
        <v>1106</v>
      </c>
      <c r="H10" s="51">
        <v>3</v>
      </c>
      <c r="I10" s="52">
        <f>'Raw Data'!F9</f>
        <v>829.5</v>
      </c>
      <c r="J10" s="53"/>
      <c r="K10" s="52">
        <f>'Raw Data'!G9</f>
        <v>0</v>
      </c>
      <c r="L10" s="54"/>
      <c r="M10" s="54"/>
      <c r="N10" s="53"/>
      <c r="O10" s="52">
        <f>'Raw Data'!H9</f>
        <v>0</v>
      </c>
      <c r="P10" s="52"/>
      <c r="Q10" s="52"/>
      <c r="R10" s="52"/>
      <c r="S10" s="52"/>
      <c r="T10" s="52"/>
      <c r="U10" s="52"/>
      <c r="V10" s="55">
        <f t="shared" si="0"/>
        <v>6081.5</v>
      </c>
      <c r="W10" s="56"/>
      <c r="X10" s="57"/>
      <c r="Y10" s="58">
        <f t="shared" si="1"/>
        <v>1.1420821493154223</v>
      </c>
      <c r="Z10" s="58">
        <f t="shared" si="2"/>
        <v>-0.5</v>
      </c>
      <c r="AA10" s="58">
        <f t="shared" si="3"/>
        <v>-0.25</v>
      </c>
      <c r="AB10" s="58" t="str">
        <f t="shared" si="4"/>
        <v/>
      </c>
      <c r="AC10" s="58">
        <f t="shared" si="5"/>
        <v>-1</v>
      </c>
      <c r="AD10" s="58">
        <f t="shared" si="6"/>
        <v>0.13811172452512399</v>
      </c>
      <c r="AJ10" s="12"/>
    </row>
    <row r="11" spans="1:36" ht="14.25" customHeight="1">
      <c r="A11" s="49">
        <f>'Raw Data'!A10</f>
        <v>45170</v>
      </c>
      <c r="B11" s="50" t="str">
        <f>'Raw Data'!B10</f>
        <v>Sep</v>
      </c>
      <c r="C11" s="26">
        <f>'Raw Data'!C10</f>
        <v>2023</v>
      </c>
      <c r="D11" s="51">
        <v>11</v>
      </c>
      <c r="E11" s="52">
        <f>'Raw Data'!D10</f>
        <v>3040</v>
      </c>
      <c r="F11" s="51">
        <v>3</v>
      </c>
      <c r="G11" s="52">
        <f>'Raw Data'!E10</f>
        <v>829</v>
      </c>
      <c r="H11" s="53"/>
      <c r="I11" s="52">
        <f>'Raw Data'!F10</f>
        <v>0</v>
      </c>
      <c r="J11" s="53"/>
      <c r="K11" s="52">
        <f>'Raw Data'!G10</f>
        <v>0</v>
      </c>
      <c r="L11" s="59"/>
      <c r="M11" s="59"/>
      <c r="N11" s="51">
        <v>13</v>
      </c>
      <c r="O11" s="52">
        <f>'Raw Data'!H10</f>
        <v>65</v>
      </c>
      <c r="P11" s="52"/>
      <c r="Q11" s="52"/>
      <c r="R11" s="52"/>
      <c r="S11" s="52"/>
      <c r="T11" s="52"/>
      <c r="U11" s="52"/>
      <c r="V11" s="55">
        <f t="shared" si="0"/>
        <v>3934</v>
      </c>
      <c r="W11" s="56"/>
      <c r="X11" s="57"/>
      <c r="Y11" s="58">
        <f t="shared" si="1"/>
        <v>-0.26676314520019295</v>
      </c>
      <c r="Z11" s="58">
        <f t="shared" si="2"/>
        <v>-0.25045207956600363</v>
      </c>
      <c r="AA11" s="58">
        <f t="shared" si="3"/>
        <v>-1</v>
      </c>
      <c r="AB11" s="58" t="str">
        <f t="shared" si="4"/>
        <v/>
      </c>
      <c r="AC11" s="58" t="str">
        <f t="shared" si="5"/>
        <v/>
      </c>
      <c r="AD11" s="58">
        <f t="shared" si="6"/>
        <v>-0.3531201183918441</v>
      </c>
      <c r="AJ11" s="12"/>
    </row>
    <row r="12" spans="1:36" ht="14.25" customHeight="1">
      <c r="A12" s="49">
        <f>'Raw Data'!A11</f>
        <v>45200</v>
      </c>
      <c r="B12" s="50" t="str">
        <f>'Raw Data'!B11</f>
        <v>Oct</v>
      </c>
      <c r="C12" s="26">
        <f>'Raw Data'!C11</f>
        <v>2023</v>
      </c>
      <c r="D12" s="51">
        <v>9</v>
      </c>
      <c r="E12" s="52">
        <f>'Raw Data'!D11</f>
        <v>2488.5</v>
      </c>
      <c r="F12" s="51">
        <v>5</v>
      </c>
      <c r="G12" s="52">
        <f>'Raw Data'!E11</f>
        <v>1382.5</v>
      </c>
      <c r="H12" s="51">
        <v>1</v>
      </c>
      <c r="I12" s="52">
        <f>'Raw Data'!F11</f>
        <v>276.5</v>
      </c>
      <c r="J12" s="51">
        <v>3</v>
      </c>
      <c r="K12" s="52">
        <f>'Raw Data'!G11</f>
        <v>829.5</v>
      </c>
      <c r="L12" s="59"/>
      <c r="M12" s="59"/>
      <c r="N12" s="51">
        <v>63</v>
      </c>
      <c r="O12" s="52">
        <f>'Raw Data'!H11</f>
        <v>315</v>
      </c>
      <c r="P12" s="52"/>
      <c r="Q12" s="52"/>
      <c r="R12" s="52"/>
      <c r="S12" s="52"/>
      <c r="T12" s="52"/>
      <c r="U12" s="52"/>
      <c r="V12" s="55">
        <f t="shared" si="0"/>
        <v>5292</v>
      </c>
      <c r="W12" s="56"/>
      <c r="X12" s="57"/>
      <c r="Y12" s="58">
        <f t="shared" si="1"/>
        <v>-0.18141447368421051</v>
      </c>
      <c r="Z12" s="58">
        <f t="shared" si="2"/>
        <v>0.66767189384800962</v>
      </c>
      <c r="AA12" s="58" t="str">
        <f t="shared" si="3"/>
        <v/>
      </c>
      <c r="AB12" s="58" t="str">
        <f t="shared" si="4"/>
        <v/>
      </c>
      <c r="AC12" s="58">
        <f t="shared" si="5"/>
        <v>3.8461538461538463</v>
      </c>
      <c r="AD12" s="58">
        <f t="shared" si="6"/>
        <v>0.34519572953736655</v>
      </c>
      <c r="AJ12" s="12"/>
    </row>
    <row r="13" spans="1:36" ht="14.25" customHeight="1">
      <c r="A13" s="49">
        <f>'Raw Data'!A12</f>
        <v>45231</v>
      </c>
      <c r="B13" s="50" t="str">
        <f>'Raw Data'!B12</f>
        <v>Nov</v>
      </c>
      <c r="C13" s="26">
        <f>'Raw Data'!C12</f>
        <v>2023</v>
      </c>
      <c r="D13" s="51">
        <v>9</v>
      </c>
      <c r="E13" s="52">
        <f>'Raw Data'!D12</f>
        <v>2488.5</v>
      </c>
      <c r="F13" s="53"/>
      <c r="G13" s="52">
        <f>'Raw Data'!E12</f>
        <v>0</v>
      </c>
      <c r="H13" s="51">
        <v>3</v>
      </c>
      <c r="I13" s="52">
        <f>'Raw Data'!F12</f>
        <v>829.5</v>
      </c>
      <c r="J13" s="51">
        <v>3</v>
      </c>
      <c r="K13" s="52">
        <f>'Raw Data'!G12</f>
        <v>829.5</v>
      </c>
      <c r="L13" s="59"/>
      <c r="M13" s="59"/>
      <c r="N13" s="51">
        <v>24</v>
      </c>
      <c r="O13" s="52">
        <f>'Raw Data'!H12</f>
        <v>120</v>
      </c>
      <c r="P13" s="52"/>
      <c r="Q13" s="52"/>
      <c r="R13" s="52"/>
      <c r="S13" s="52"/>
      <c r="T13" s="52"/>
      <c r="U13" s="52"/>
      <c r="V13" s="55">
        <f t="shared" si="0"/>
        <v>4267.5</v>
      </c>
      <c r="W13" s="56"/>
      <c r="X13" s="57"/>
      <c r="Y13" s="58">
        <f t="shared" si="1"/>
        <v>0</v>
      </c>
      <c r="Z13" s="58">
        <f t="shared" si="2"/>
        <v>-1</v>
      </c>
      <c r="AA13" s="58">
        <f t="shared" si="3"/>
        <v>2</v>
      </c>
      <c r="AB13" s="58">
        <f t="shared" si="4"/>
        <v>0</v>
      </c>
      <c r="AC13" s="58">
        <f t="shared" si="5"/>
        <v>-0.61904761904761907</v>
      </c>
      <c r="AD13" s="58">
        <f t="shared" si="6"/>
        <v>-0.19359410430839002</v>
      </c>
      <c r="AJ13" s="12"/>
    </row>
    <row r="14" spans="1:36" ht="14.25" customHeight="1">
      <c r="A14" s="61">
        <f>'Raw Data'!A13</f>
        <v>45261</v>
      </c>
      <c r="B14" s="62" t="str">
        <f>'Raw Data'!B13</f>
        <v>Dec</v>
      </c>
      <c r="C14" s="63">
        <f>'Raw Data'!C13</f>
        <v>2023</v>
      </c>
      <c r="D14" s="64">
        <v>11</v>
      </c>
      <c r="E14" s="65">
        <f>'Raw Data'!D13</f>
        <v>3041.5</v>
      </c>
      <c r="F14" s="64">
        <v>13</v>
      </c>
      <c r="G14" s="65">
        <f>'Raw Data'!E13</f>
        <v>3593</v>
      </c>
      <c r="H14" s="66"/>
      <c r="I14" s="65">
        <f>'Raw Data'!F13</f>
        <v>0</v>
      </c>
      <c r="J14" s="66"/>
      <c r="K14" s="65">
        <f>'Raw Data'!G13</f>
        <v>0</v>
      </c>
      <c r="L14" s="67"/>
      <c r="M14" s="67"/>
      <c r="N14" s="64">
        <v>21</v>
      </c>
      <c r="O14" s="65">
        <f>'Raw Data'!H13</f>
        <v>105</v>
      </c>
      <c r="P14" s="65"/>
      <c r="Q14" s="65"/>
      <c r="R14" s="65"/>
      <c r="S14" s="65"/>
      <c r="T14" s="65"/>
      <c r="U14" s="65"/>
      <c r="V14" s="68">
        <f t="shared" si="0"/>
        <v>6739.5</v>
      </c>
      <c r="W14" s="69"/>
      <c r="X14" s="57"/>
      <c r="Y14" s="58">
        <f t="shared" si="1"/>
        <v>0.22222222222222221</v>
      </c>
      <c r="Z14" s="58" t="str">
        <f t="shared" si="2"/>
        <v/>
      </c>
      <c r="AA14" s="58">
        <f t="shared" si="3"/>
        <v>-1</v>
      </c>
      <c r="AB14" s="58">
        <f t="shared" si="4"/>
        <v>-1</v>
      </c>
      <c r="AC14" s="58">
        <f t="shared" si="5"/>
        <v>-0.125</v>
      </c>
      <c r="AD14" s="58">
        <f t="shared" si="6"/>
        <v>0.5792618629173989</v>
      </c>
      <c r="AJ14" s="12"/>
    </row>
    <row r="15" spans="1:36" ht="14.25" customHeight="1">
      <c r="A15" s="38">
        <f>'Raw Data'!A14</f>
        <v>45292</v>
      </c>
      <c r="B15" s="39" t="str">
        <f>'Raw Data'!B14</f>
        <v>Jan</v>
      </c>
      <c r="C15" s="40">
        <f>'Raw Data'!C14</f>
        <v>2024</v>
      </c>
      <c r="D15" s="41">
        <v>17</v>
      </c>
      <c r="E15" s="42">
        <f>'Raw Data'!D14</f>
        <v>4700.5</v>
      </c>
      <c r="F15" s="41">
        <v>0</v>
      </c>
      <c r="G15" s="42">
        <f>'Raw Data'!E14</f>
        <v>0</v>
      </c>
      <c r="H15" s="41">
        <v>2</v>
      </c>
      <c r="I15" s="42">
        <f>'Raw Data'!F14</f>
        <v>553</v>
      </c>
      <c r="J15" s="43"/>
      <c r="K15" s="42">
        <f>'Raw Data'!G14</f>
        <v>0</v>
      </c>
      <c r="L15" s="44"/>
      <c r="M15" s="44"/>
      <c r="N15" s="41">
        <v>19</v>
      </c>
      <c r="O15" s="42">
        <f>'Raw Data'!H14</f>
        <v>95</v>
      </c>
      <c r="P15" s="42"/>
      <c r="Q15" s="42"/>
      <c r="R15" s="42"/>
      <c r="S15" s="42"/>
      <c r="T15" s="42"/>
      <c r="U15" s="42"/>
      <c r="V15" s="45">
        <f t="shared" si="0"/>
        <v>5348.5</v>
      </c>
      <c r="W15" s="46" t="s">
        <v>66</v>
      </c>
      <c r="X15" s="57"/>
      <c r="Y15" s="58">
        <f t="shared" si="1"/>
        <v>0.54545454545454541</v>
      </c>
      <c r="Z15" s="58">
        <f t="shared" si="2"/>
        <v>-1</v>
      </c>
      <c r="AA15" s="58" t="str">
        <f t="shared" si="3"/>
        <v/>
      </c>
      <c r="AB15" s="58" t="str">
        <f t="shared" si="4"/>
        <v/>
      </c>
      <c r="AC15" s="58">
        <f t="shared" si="5"/>
        <v>-9.5238095238095233E-2</v>
      </c>
      <c r="AD15" s="58">
        <f t="shared" si="6"/>
        <v>-0.20639513317011648</v>
      </c>
    </row>
    <row r="16" spans="1:36" ht="14.25" customHeight="1">
      <c r="A16" s="49">
        <f>'Raw Data'!A15</f>
        <v>45323</v>
      </c>
      <c r="B16" s="50" t="str">
        <f>'Raw Data'!B15</f>
        <v>Feb</v>
      </c>
      <c r="C16" s="26">
        <f>'Raw Data'!C15</f>
        <v>2024</v>
      </c>
      <c r="D16" s="51">
        <v>11</v>
      </c>
      <c r="E16" s="52">
        <f>'Raw Data'!D15</f>
        <v>3041.5</v>
      </c>
      <c r="F16" s="53"/>
      <c r="G16" s="52">
        <f>'Raw Data'!E15</f>
        <v>0</v>
      </c>
      <c r="H16" s="51">
        <v>4</v>
      </c>
      <c r="I16" s="52">
        <f>'Raw Data'!F15</f>
        <v>1106</v>
      </c>
      <c r="J16" s="53"/>
      <c r="K16" s="52">
        <f>'Raw Data'!G15</f>
        <v>0</v>
      </c>
      <c r="L16" s="54"/>
      <c r="M16" s="54"/>
      <c r="N16" s="53"/>
      <c r="O16" s="52">
        <f>'Raw Data'!H15</f>
        <v>0</v>
      </c>
      <c r="P16" s="52"/>
      <c r="Q16" s="52"/>
      <c r="R16" s="52"/>
      <c r="S16" s="52"/>
      <c r="T16" s="52"/>
      <c r="U16" s="52"/>
      <c r="V16" s="55">
        <f t="shared" si="0"/>
        <v>4147.5</v>
      </c>
      <c r="W16" s="56"/>
      <c r="X16" s="57"/>
      <c r="Y16" s="58">
        <f t="shared" si="1"/>
        <v>-0.35294117647058826</v>
      </c>
      <c r="Z16" s="58" t="str">
        <f t="shared" si="2"/>
        <v/>
      </c>
      <c r="AA16" s="58">
        <f t="shared" si="3"/>
        <v>1</v>
      </c>
      <c r="AB16" s="58" t="str">
        <f t="shared" si="4"/>
        <v/>
      </c>
      <c r="AC16" s="58">
        <f t="shared" si="5"/>
        <v>-1</v>
      </c>
      <c r="AD16" s="58">
        <f t="shared" si="6"/>
        <v>-0.22454893895484715</v>
      </c>
    </row>
    <row r="17" spans="1:30" ht="14.25" customHeight="1">
      <c r="A17" s="49">
        <f>'Raw Data'!A16</f>
        <v>45352</v>
      </c>
      <c r="B17" s="50" t="str">
        <f>'Raw Data'!B16</f>
        <v>Mar</v>
      </c>
      <c r="C17" s="26">
        <f>'Raw Data'!C16</f>
        <v>2024</v>
      </c>
      <c r="D17" s="51">
        <v>9</v>
      </c>
      <c r="E17" s="52">
        <f>'Raw Data'!D16</f>
        <v>3038.5</v>
      </c>
      <c r="F17" s="51">
        <v>11</v>
      </c>
      <c r="G17" s="52">
        <f>'Raw Data'!E16</f>
        <v>3016.5</v>
      </c>
      <c r="H17" s="53"/>
      <c r="I17" s="52">
        <f>'Raw Data'!F16</f>
        <v>0</v>
      </c>
      <c r="J17" s="53"/>
      <c r="K17" s="52">
        <f>'Raw Data'!G16</f>
        <v>0</v>
      </c>
      <c r="L17" s="59"/>
      <c r="M17" s="59"/>
      <c r="N17" s="51">
        <v>68</v>
      </c>
      <c r="O17" s="52">
        <f>'Raw Data'!H16</f>
        <v>340</v>
      </c>
      <c r="P17" s="52"/>
      <c r="Q17" s="52"/>
      <c r="R17" s="52"/>
      <c r="S17" s="52"/>
      <c r="T17" s="52"/>
      <c r="U17" s="52"/>
      <c r="V17" s="55">
        <f t="shared" si="0"/>
        <v>6395</v>
      </c>
      <c r="W17" s="56"/>
      <c r="X17" s="57"/>
      <c r="Y17" s="58">
        <f t="shared" si="1"/>
        <v>-9.8635541673516348E-4</v>
      </c>
      <c r="Z17" s="58" t="str">
        <f t="shared" si="2"/>
        <v/>
      </c>
      <c r="AA17" s="58">
        <f t="shared" si="3"/>
        <v>-1</v>
      </c>
      <c r="AB17" s="58" t="str">
        <f t="shared" si="4"/>
        <v/>
      </c>
      <c r="AC17" s="58" t="str">
        <f t="shared" si="5"/>
        <v/>
      </c>
      <c r="AD17" s="58">
        <f t="shared" si="6"/>
        <v>0.54189270644966847</v>
      </c>
    </row>
    <row r="18" spans="1:30" ht="14.25" customHeight="1">
      <c r="A18" s="49">
        <f>'Raw Data'!A17</f>
        <v>45383</v>
      </c>
      <c r="B18" s="50" t="str">
        <f>'Raw Data'!B17</f>
        <v>Apr</v>
      </c>
      <c r="C18" s="26">
        <f>'Raw Data'!C17</f>
        <v>2024</v>
      </c>
      <c r="D18" s="51">
        <v>17</v>
      </c>
      <c r="E18" s="52">
        <f>'Raw Data'!D17</f>
        <v>4700.5</v>
      </c>
      <c r="F18" s="51">
        <v>11</v>
      </c>
      <c r="G18" s="52">
        <f>'Raw Data'!E17</f>
        <v>3041.5</v>
      </c>
      <c r="H18" s="51">
        <v>9</v>
      </c>
      <c r="I18" s="52">
        <f>'Raw Data'!F17</f>
        <v>2488.5</v>
      </c>
      <c r="J18" s="53"/>
      <c r="K18" s="52">
        <f>'Raw Data'!G17</f>
        <v>0</v>
      </c>
      <c r="L18" s="59"/>
      <c r="M18" s="59"/>
      <c r="N18" s="51">
        <v>23</v>
      </c>
      <c r="O18" s="52">
        <f>'Raw Data'!H17</f>
        <v>115</v>
      </c>
      <c r="P18" s="52"/>
      <c r="Q18" s="52"/>
      <c r="R18" s="52"/>
      <c r="S18" s="52"/>
      <c r="T18" s="52"/>
      <c r="U18" s="52"/>
      <c r="V18" s="55">
        <f t="shared" si="0"/>
        <v>10345.5</v>
      </c>
      <c r="W18" s="56"/>
      <c r="X18" s="57"/>
      <c r="Y18" s="58">
        <f t="shared" si="1"/>
        <v>0.54698041796939278</v>
      </c>
      <c r="Z18" s="58">
        <f t="shared" si="2"/>
        <v>8.2877507044588107E-3</v>
      </c>
      <c r="AA18" s="58" t="str">
        <f t="shared" si="3"/>
        <v/>
      </c>
      <c r="AB18" s="58" t="str">
        <f t="shared" si="4"/>
        <v/>
      </c>
      <c r="AC18" s="58">
        <f t="shared" si="5"/>
        <v>-0.66176470588235292</v>
      </c>
      <c r="AD18" s="58">
        <f t="shared" si="6"/>
        <v>0.61774824081313529</v>
      </c>
    </row>
    <row r="19" spans="1:30" ht="14.25" customHeight="1">
      <c r="A19" s="49">
        <f>'Raw Data'!A18</f>
        <v>45413</v>
      </c>
      <c r="B19" s="50" t="str">
        <f>'Raw Data'!B18</f>
        <v>May</v>
      </c>
      <c r="C19" s="26">
        <f>'Raw Data'!C18</f>
        <v>2024</v>
      </c>
      <c r="D19" s="51">
        <v>14</v>
      </c>
      <c r="E19" s="52">
        <f>'Raw Data'!D18</f>
        <v>3871</v>
      </c>
      <c r="F19" s="53"/>
      <c r="G19" s="52">
        <f>'Raw Data'!E18</f>
        <v>0</v>
      </c>
      <c r="H19" s="53"/>
      <c r="I19" s="52">
        <f>'Raw Data'!F18</f>
        <v>0</v>
      </c>
      <c r="J19" s="53"/>
      <c r="K19" s="52">
        <f>'Raw Data'!G18</f>
        <v>0</v>
      </c>
      <c r="L19" s="59"/>
      <c r="M19" s="59"/>
      <c r="N19" s="51">
        <v>39</v>
      </c>
      <c r="O19" s="52">
        <f>'Raw Data'!H18</f>
        <v>195</v>
      </c>
      <c r="P19" s="52"/>
      <c r="Q19" s="52"/>
      <c r="R19" s="52"/>
      <c r="S19" s="52"/>
      <c r="T19" s="52"/>
      <c r="U19" s="52"/>
      <c r="V19" s="55">
        <f t="shared" si="0"/>
        <v>4066</v>
      </c>
      <c r="W19" s="56"/>
      <c r="X19" s="57"/>
      <c r="Y19" s="58">
        <f t="shared" si="1"/>
        <v>-0.17647058823529413</v>
      </c>
      <c r="Z19" s="58">
        <f t="shared" si="2"/>
        <v>-1</v>
      </c>
      <c r="AA19" s="58">
        <f t="shared" si="3"/>
        <v>-1</v>
      </c>
      <c r="AB19" s="58" t="str">
        <f t="shared" si="4"/>
        <v/>
      </c>
      <c r="AC19" s="58">
        <f t="shared" si="5"/>
        <v>0.69565217391304346</v>
      </c>
      <c r="AD19" s="58">
        <f t="shared" si="6"/>
        <v>-0.60697887970615239</v>
      </c>
    </row>
    <row r="20" spans="1:30" ht="14.25" customHeight="1">
      <c r="A20" s="49">
        <f>'Raw Data'!A19</f>
        <v>45444</v>
      </c>
      <c r="B20" s="50" t="str">
        <f>'Raw Data'!B19</f>
        <v>Jun</v>
      </c>
      <c r="C20" s="26">
        <f>'Raw Data'!C19</f>
        <v>2024</v>
      </c>
      <c r="D20" s="51">
        <v>15</v>
      </c>
      <c r="E20" s="52">
        <f>'Raw Data'!D19</f>
        <v>4147.5</v>
      </c>
      <c r="F20" s="51">
        <v>12</v>
      </c>
      <c r="G20" s="52">
        <f>'Raw Data'!E19</f>
        <v>3318</v>
      </c>
      <c r="H20" s="53"/>
      <c r="I20" s="52">
        <f>'Raw Data'!F19</f>
        <v>1935.5</v>
      </c>
      <c r="J20" s="53"/>
      <c r="K20" s="52">
        <f>'Raw Data'!G19</f>
        <v>0</v>
      </c>
      <c r="L20" s="59"/>
      <c r="M20" s="59"/>
      <c r="N20" s="51">
        <v>69</v>
      </c>
      <c r="O20" s="52">
        <f>'Raw Data'!H19</f>
        <v>330</v>
      </c>
      <c r="P20" s="52"/>
      <c r="Q20" s="52"/>
      <c r="R20" s="52"/>
      <c r="S20" s="52"/>
      <c r="T20" s="52"/>
      <c r="U20" s="52"/>
      <c r="V20" s="55">
        <f t="shared" si="0"/>
        <v>9731</v>
      </c>
      <c r="W20" s="56"/>
      <c r="X20" s="57"/>
      <c r="Y20" s="58">
        <f t="shared" si="1"/>
        <v>7.1428571428571425E-2</v>
      </c>
      <c r="Z20" s="58" t="str">
        <f t="shared" si="2"/>
        <v/>
      </c>
      <c r="AA20" s="58" t="str">
        <f t="shared" si="3"/>
        <v/>
      </c>
      <c r="AB20" s="58" t="str">
        <f t="shared" si="4"/>
        <v/>
      </c>
      <c r="AC20" s="58">
        <f t="shared" si="5"/>
        <v>0.69230769230769229</v>
      </c>
      <c r="AD20" s="58">
        <f t="shared" si="6"/>
        <v>1.3932611903590753</v>
      </c>
    </row>
    <row r="21" spans="1:30" ht="14.25" customHeight="1">
      <c r="A21" s="49">
        <f>'Raw Data'!A20</f>
        <v>45474</v>
      </c>
      <c r="B21" s="50" t="str">
        <f>'Raw Data'!B20</f>
        <v>Jul</v>
      </c>
      <c r="C21" s="26">
        <f>'Raw Data'!C20</f>
        <v>2024</v>
      </c>
      <c r="D21" s="51">
        <v>9</v>
      </c>
      <c r="E21" s="52">
        <f>'Raw Data'!D20</f>
        <v>2488.5</v>
      </c>
      <c r="F21" s="51">
        <v>1</v>
      </c>
      <c r="G21" s="52">
        <f>'Raw Data'!E20</f>
        <v>275</v>
      </c>
      <c r="H21" s="51">
        <v>3</v>
      </c>
      <c r="I21" s="52">
        <f>'Raw Data'!F20</f>
        <v>829.5</v>
      </c>
      <c r="J21" s="53"/>
      <c r="K21" s="52">
        <f>'Raw Data'!G20</f>
        <v>0</v>
      </c>
      <c r="L21" s="59"/>
      <c r="M21" s="59"/>
      <c r="N21" s="51">
        <v>40</v>
      </c>
      <c r="O21" s="52">
        <f>'Raw Data'!H20</f>
        <v>200</v>
      </c>
      <c r="P21" s="52"/>
      <c r="Q21" s="52"/>
      <c r="R21" s="52"/>
      <c r="S21" s="52"/>
      <c r="T21" s="52"/>
      <c r="U21" s="52"/>
      <c r="V21" s="55">
        <f t="shared" si="0"/>
        <v>3793</v>
      </c>
      <c r="W21" s="56"/>
      <c r="X21" s="57"/>
      <c r="Y21" s="58">
        <f t="shared" si="1"/>
        <v>-0.4</v>
      </c>
      <c r="Z21" s="58">
        <f t="shared" si="2"/>
        <v>-0.91711874623267031</v>
      </c>
      <c r="AA21" s="58">
        <f t="shared" si="3"/>
        <v>-0.5714285714285714</v>
      </c>
      <c r="AB21" s="58" t="str">
        <f t="shared" si="4"/>
        <v/>
      </c>
      <c r="AC21" s="58">
        <f t="shared" si="5"/>
        <v>-0.39393939393939392</v>
      </c>
      <c r="AD21" s="58">
        <f t="shared" si="6"/>
        <v>-0.61021477751515774</v>
      </c>
    </row>
    <row r="22" spans="1:30" ht="14.25" customHeight="1">
      <c r="A22" s="49">
        <f>'Raw Data'!A21</f>
        <v>45505</v>
      </c>
      <c r="B22" s="50" t="str">
        <f>'Raw Data'!B21</f>
        <v>Aug</v>
      </c>
      <c r="C22" s="26">
        <f>'Raw Data'!C21</f>
        <v>2024</v>
      </c>
      <c r="D22" s="51">
        <v>11</v>
      </c>
      <c r="E22" s="52">
        <f>'Raw Data'!D21</f>
        <v>3041.5</v>
      </c>
      <c r="F22" s="51">
        <v>12</v>
      </c>
      <c r="G22" s="52">
        <f>'Raw Data'!E21</f>
        <v>3318</v>
      </c>
      <c r="H22" s="51">
        <v>2</v>
      </c>
      <c r="I22" s="52">
        <f>'Raw Data'!F21</f>
        <v>553</v>
      </c>
      <c r="J22" s="51">
        <v>15</v>
      </c>
      <c r="K22" s="52">
        <f>'Raw Data'!G21</f>
        <v>4143</v>
      </c>
      <c r="L22" s="59"/>
      <c r="M22" s="59"/>
      <c r="N22" s="51">
        <v>33</v>
      </c>
      <c r="O22" s="52">
        <f>'Raw Data'!H21</f>
        <v>165</v>
      </c>
      <c r="P22" s="52"/>
      <c r="Q22" s="52"/>
      <c r="R22" s="52"/>
      <c r="S22" s="52"/>
      <c r="T22" s="52"/>
      <c r="U22" s="52"/>
      <c r="V22" s="55">
        <f t="shared" si="0"/>
        <v>11220.5</v>
      </c>
      <c r="W22" s="56"/>
      <c r="X22" s="57"/>
      <c r="Y22" s="58">
        <f t="shared" si="1"/>
        <v>0.22222222222222221</v>
      </c>
      <c r="Z22" s="58">
        <f t="shared" si="2"/>
        <v>11.065454545454546</v>
      </c>
      <c r="AA22" s="58">
        <f t="shared" si="3"/>
        <v>-0.33333333333333331</v>
      </c>
      <c r="AB22" s="58" t="str">
        <f t="shared" si="4"/>
        <v/>
      </c>
      <c r="AC22" s="58">
        <f t="shared" si="5"/>
        <v>-0.17499999999999999</v>
      </c>
      <c r="AD22" s="58">
        <f t="shared" si="6"/>
        <v>1.9582124967044556</v>
      </c>
    </row>
    <row r="23" spans="1:30" ht="14.25" customHeight="1">
      <c r="A23" s="49">
        <f>'Raw Data'!A22</f>
        <v>45536</v>
      </c>
      <c r="B23" s="50" t="str">
        <f>'Raw Data'!B22</f>
        <v>Sep</v>
      </c>
      <c r="C23" s="26">
        <f>'Raw Data'!C22</f>
        <v>2024</v>
      </c>
      <c r="D23" s="51">
        <v>6</v>
      </c>
      <c r="E23" s="52">
        <f>'Raw Data'!D22</f>
        <v>1659</v>
      </c>
      <c r="F23" s="51">
        <v>1</v>
      </c>
      <c r="G23" s="52">
        <f>'Raw Data'!E22</f>
        <v>275</v>
      </c>
      <c r="H23" s="51">
        <v>10</v>
      </c>
      <c r="I23" s="52">
        <f>'Raw Data'!F22</f>
        <v>2763.5</v>
      </c>
      <c r="J23" s="53"/>
      <c r="K23" s="52">
        <f>'Raw Data'!G22</f>
        <v>0</v>
      </c>
      <c r="L23" s="59"/>
      <c r="M23" s="59"/>
      <c r="N23" s="51">
        <v>60</v>
      </c>
      <c r="O23" s="52">
        <f>'Raw Data'!H22</f>
        <v>300</v>
      </c>
      <c r="P23" s="52"/>
      <c r="Q23" s="52"/>
      <c r="R23" s="52"/>
      <c r="S23" s="52"/>
      <c r="T23" s="52"/>
      <c r="U23" s="52"/>
      <c r="V23" s="55">
        <f t="shared" si="0"/>
        <v>4997.5</v>
      </c>
      <c r="W23" s="56"/>
      <c r="X23" s="57"/>
      <c r="Y23" s="58">
        <f t="shared" si="1"/>
        <v>-0.45454545454545453</v>
      </c>
      <c r="Z23" s="58">
        <f t="shared" si="2"/>
        <v>-0.91711874623267031</v>
      </c>
      <c r="AA23" s="58">
        <f t="shared" si="3"/>
        <v>3.9972875226039783</v>
      </c>
      <c r="AB23" s="58">
        <f t="shared" si="4"/>
        <v>-1</v>
      </c>
      <c r="AC23" s="58">
        <f t="shared" si="5"/>
        <v>0.81818181818181823</v>
      </c>
      <c r="AD23" s="58">
        <f t="shared" si="6"/>
        <v>-0.55460986587050487</v>
      </c>
    </row>
    <row r="24" spans="1:30" ht="14.25" customHeight="1">
      <c r="A24" s="49">
        <f>'Raw Data'!A23</f>
        <v>45566</v>
      </c>
      <c r="B24" s="50" t="str">
        <f>'Raw Data'!B23</f>
        <v>Oct</v>
      </c>
      <c r="C24" s="26">
        <f>'Raw Data'!C23</f>
        <v>2024</v>
      </c>
      <c r="D24" s="53"/>
      <c r="E24" s="52">
        <f>'Raw Data'!D23</f>
        <v>0</v>
      </c>
      <c r="F24" s="53"/>
      <c r="G24" s="52">
        <f>'Raw Data'!E23</f>
        <v>0</v>
      </c>
      <c r="H24" s="53"/>
      <c r="I24" s="52">
        <f>'Raw Data'!F23</f>
        <v>0</v>
      </c>
      <c r="J24" s="53"/>
      <c r="K24" s="52">
        <f>'Raw Data'!G23</f>
        <v>0</v>
      </c>
      <c r="L24" s="59"/>
      <c r="M24" s="59"/>
      <c r="N24" s="51">
        <v>27</v>
      </c>
      <c r="O24" s="52">
        <f>'Raw Data'!H23</f>
        <v>135</v>
      </c>
      <c r="P24" s="52"/>
      <c r="Q24" s="52"/>
      <c r="R24" s="52"/>
      <c r="S24" s="52"/>
      <c r="T24" s="52"/>
      <c r="U24" s="52"/>
      <c r="V24" s="55">
        <f t="shared" si="0"/>
        <v>135</v>
      </c>
      <c r="W24" s="56"/>
      <c r="X24" s="57"/>
      <c r="Y24" s="58">
        <f t="shared" si="1"/>
        <v>-1</v>
      </c>
      <c r="Z24" s="58">
        <f t="shared" si="2"/>
        <v>-1</v>
      </c>
      <c r="AA24" s="58">
        <f t="shared" si="3"/>
        <v>-1</v>
      </c>
      <c r="AB24" s="58" t="str">
        <f t="shared" si="4"/>
        <v/>
      </c>
      <c r="AC24" s="58">
        <f t="shared" si="5"/>
        <v>-0.55000000000000004</v>
      </c>
      <c r="AD24" s="58">
        <f t="shared" si="6"/>
        <v>-0.97298649324662334</v>
      </c>
    </row>
    <row r="25" spans="1:30" ht="14.25" customHeight="1">
      <c r="A25" s="49">
        <f>'Raw Data'!A24</f>
        <v>45597</v>
      </c>
      <c r="B25" s="50" t="str">
        <f>'Raw Data'!B24</f>
        <v>Nov</v>
      </c>
      <c r="C25" s="26">
        <f>'Raw Data'!C24</f>
        <v>2024</v>
      </c>
      <c r="D25" s="51">
        <v>10</v>
      </c>
      <c r="E25" s="52">
        <f>'Raw Data'!D24</f>
        <v>2765</v>
      </c>
      <c r="F25" s="53"/>
      <c r="G25" s="52">
        <f>'Raw Data'!E24</f>
        <v>0</v>
      </c>
      <c r="H25" s="53"/>
      <c r="I25" s="52">
        <f>'Raw Data'!F24</f>
        <v>0</v>
      </c>
      <c r="J25" s="51">
        <v>12</v>
      </c>
      <c r="K25" s="52">
        <f>'Raw Data'!G24</f>
        <v>3318</v>
      </c>
      <c r="L25" s="54"/>
      <c r="M25" s="54"/>
      <c r="N25" s="53"/>
      <c r="O25" s="52">
        <f>'Raw Data'!H24</f>
        <v>0</v>
      </c>
      <c r="P25" s="52"/>
      <c r="Q25" s="52"/>
      <c r="R25" s="52"/>
      <c r="S25" s="52"/>
      <c r="T25" s="52"/>
      <c r="U25" s="52"/>
      <c r="V25" s="55">
        <f t="shared" si="0"/>
        <v>6083</v>
      </c>
      <c r="W25" s="56"/>
      <c r="X25" s="57"/>
      <c r="Y25" s="58" t="str">
        <f t="shared" si="1"/>
        <v/>
      </c>
      <c r="Z25" s="58" t="str">
        <f t="shared" si="2"/>
        <v/>
      </c>
      <c r="AA25" s="58" t="str">
        <f t="shared" si="3"/>
        <v/>
      </c>
      <c r="AB25" s="58" t="str">
        <f t="shared" si="4"/>
        <v/>
      </c>
      <c r="AC25" s="58">
        <f t="shared" si="5"/>
        <v>-1</v>
      </c>
      <c r="AD25" s="58">
        <f t="shared" si="6"/>
        <v>44.059259259259257</v>
      </c>
    </row>
    <row r="26" spans="1:30" ht="14.25" customHeight="1">
      <c r="A26" s="61">
        <f>'Raw Data'!A25</f>
        <v>45627</v>
      </c>
      <c r="B26" s="62" t="str">
        <f>'Raw Data'!B25</f>
        <v>Dec</v>
      </c>
      <c r="C26" s="63">
        <f>'Raw Data'!C25</f>
        <v>2024</v>
      </c>
      <c r="D26" s="64">
        <v>12</v>
      </c>
      <c r="E26" s="65">
        <f>'Raw Data'!D25</f>
        <v>3191.5</v>
      </c>
      <c r="F26" s="64">
        <v>10</v>
      </c>
      <c r="G26" s="65">
        <f>'Raw Data'!E25</f>
        <v>2765</v>
      </c>
      <c r="H26" s="64">
        <v>6</v>
      </c>
      <c r="I26" s="65">
        <f>'Raw Data'!F25</f>
        <v>1659</v>
      </c>
      <c r="J26" s="64">
        <v>1</v>
      </c>
      <c r="K26" s="65">
        <f>'Raw Data'!G25</f>
        <v>275</v>
      </c>
      <c r="L26" s="70"/>
      <c r="M26" s="70"/>
      <c r="N26" s="66"/>
      <c r="O26" s="65">
        <f>'Raw Data'!H25</f>
        <v>0</v>
      </c>
      <c r="P26" s="65"/>
      <c r="Q26" s="65"/>
      <c r="R26" s="65"/>
      <c r="S26" s="65"/>
      <c r="T26" s="65"/>
      <c r="U26" s="65"/>
      <c r="V26" s="68">
        <f t="shared" si="0"/>
        <v>7890.5</v>
      </c>
      <c r="W26" s="69"/>
      <c r="X26" s="57"/>
      <c r="Y26" s="58">
        <f t="shared" si="1"/>
        <v>0.15424954792043399</v>
      </c>
      <c r="Z26" s="58" t="str">
        <f t="shared" si="2"/>
        <v/>
      </c>
      <c r="AA26" s="58" t="str">
        <f t="shared" si="3"/>
        <v/>
      </c>
      <c r="AB26" s="58">
        <f t="shared" si="4"/>
        <v>-0.91711874623267031</v>
      </c>
      <c r="AC26" s="58" t="str">
        <f t="shared" si="5"/>
        <v/>
      </c>
      <c r="AD26" s="58">
        <f t="shared" si="6"/>
        <v>0.29713956929146801</v>
      </c>
    </row>
    <row r="27" spans="1:30" ht="14.25" customHeight="1">
      <c r="A27" s="38">
        <f>'Raw Data'!A26</f>
        <v>45658</v>
      </c>
      <c r="B27" s="39" t="str">
        <f>'Raw Data'!B26</f>
        <v>Jan</v>
      </c>
      <c r="C27" s="40">
        <f>'Raw Data'!C26</f>
        <v>2025</v>
      </c>
      <c r="D27" s="41">
        <v>12</v>
      </c>
      <c r="E27" s="42">
        <f>'Raw Data'!D26</f>
        <v>3040</v>
      </c>
      <c r="F27" s="41">
        <v>-1</v>
      </c>
      <c r="G27" s="42">
        <f>'Raw Data'!E26</f>
        <v>-276.5</v>
      </c>
      <c r="H27" s="41">
        <v>1</v>
      </c>
      <c r="I27" s="42">
        <f>'Raw Data'!F26</f>
        <v>0</v>
      </c>
      <c r="J27" s="43"/>
      <c r="K27" s="42">
        <f>'Raw Data'!G26</f>
        <v>0</v>
      </c>
      <c r="L27" s="71"/>
      <c r="M27" s="71"/>
      <c r="N27" s="43"/>
      <c r="O27" s="42">
        <f>'Raw Data'!H26</f>
        <v>0</v>
      </c>
      <c r="P27" s="42"/>
      <c r="Q27" s="42"/>
      <c r="R27" s="42"/>
      <c r="S27" s="42"/>
      <c r="T27" s="42"/>
      <c r="U27" s="42"/>
      <c r="V27" s="45">
        <f t="shared" si="0"/>
        <v>2763.5</v>
      </c>
      <c r="W27" s="46" t="s">
        <v>67</v>
      </c>
      <c r="X27" s="57"/>
      <c r="Y27" s="58">
        <f t="shared" si="1"/>
        <v>-4.7469841767194113E-2</v>
      </c>
      <c r="Z27" s="58">
        <f t="shared" si="2"/>
        <v>-1.1000000000000001</v>
      </c>
      <c r="AA27" s="58">
        <f t="shared" si="3"/>
        <v>-1</v>
      </c>
      <c r="AB27" s="58">
        <f t="shared" si="4"/>
        <v>-1</v>
      </c>
      <c r="AC27" s="58" t="str">
        <f t="shared" si="5"/>
        <v/>
      </c>
      <c r="AD27" s="58">
        <f t="shared" si="6"/>
        <v>-0.64976870920727459</v>
      </c>
    </row>
    <row r="28" spans="1:30" ht="14.25" customHeight="1">
      <c r="A28" s="49">
        <f>'Raw Data'!A27</f>
        <v>45689</v>
      </c>
      <c r="B28" s="50" t="str">
        <f>'Raw Data'!B27</f>
        <v>Feb</v>
      </c>
      <c r="C28" s="26">
        <f>'Raw Data'!C27</f>
        <v>2025</v>
      </c>
      <c r="D28" s="51">
        <v>14</v>
      </c>
      <c r="E28" s="52">
        <f>'Raw Data'!D27</f>
        <v>3871</v>
      </c>
      <c r="F28" s="53"/>
      <c r="G28" s="52">
        <f>'Raw Data'!E27</f>
        <v>0</v>
      </c>
      <c r="H28" s="53"/>
      <c r="I28" s="52">
        <f>'Raw Data'!F27</f>
        <v>0</v>
      </c>
      <c r="J28" s="53"/>
      <c r="K28" s="52">
        <f>'Raw Data'!G27</f>
        <v>0</v>
      </c>
      <c r="L28" s="59"/>
      <c r="M28" s="59"/>
      <c r="N28" s="51">
        <v>71</v>
      </c>
      <c r="O28" s="52">
        <f>'Raw Data'!H27</f>
        <v>355</v>
      </c>
      <c r="P28" s="52"/>
      <c r="Q28" s="52"/>
      <c r="R28" s="52"/>
      <c r="S28" s="52"/>
      <c r="T28" s="52"/>
      <c r="U28" s="52"/>
      <c r="V28" s="55">
        <f t="shared" si="0"/>
        <v>4226</v>
      </c>
      <c r="W28" s="56"/>
      <c r="X28" s="57"/>
      <c r="Y28" s="58">
        <f t="shared" si="1"/>
        <v>0.27335526315789471</v>
      </c>
      <c r="Z28" s="58">
        <f t="shared" si="2"/>
        <v>-1</v>
      </c>
      <c r="AA28" s="58" t="str">
        <f t="shared" si="3"/>
        <v/>
      </c>
      <c r="AB28" s="58" t="str">
        <f t="shared" si="4"/>
        <v/>
      </c>
      <c r="AC28" s="58" t="str">
        <f t="shared" si="5"/>
        <v/>
      </c>
      <c r="AD28" s="58">
        <f t="shared" si="6"/>
        <v>0.52922019178577895</v>
      </c>
    </row>
    <row r="29" spans="1:30" ht="14.25" customHeight="1">
      <c r="A29" s="49">
        <f>'Raw Data'!A28</f>
        <v>45717</v>
      </c>
      <c r="B29" s="50" t="str">
        <f>'Raw Data'!B28</f>
        <v>Mar</v>
      </c>
      <c r="C29" s="26">
        <f>'Raw Data'!C28</f>
        <v>2025</v>
      </c>
      <c r="D29" s="51">
        <v>6</v>
      </c>
      <c r="E29" s="52">
        <f>'Raw Data'!D28</f>
        <v>1659</v>
      </c>
      <c r="F29" s="51">
        <v>6</v>
      </c>
      <c r="G29" s="52">
        <f>'Raw Data'!E28</f>
        <v>1659</v>
      </c>
      <c r="H29" s="51">
        <v>11</v>
      </c>
      <c r="I29" s="52">
        <f>'Raw Data'!F28</f>
        <v>3041.5</v>
      </c>
      <c r="J29" s="53"/>
      <c r="K29" s="52">
        <f>'Raw Data'!G28</f>
        <v>0</v>
      </c>
      <c r="L29" s="59"/>
      <c r="M29" s="59"/>
      <c r="N29" s="51">
        <v>65</v>
      </c>
      <c r="O29" s="52">
        <f>'Raw Data'!H28</f>
        <v>320</v>
      </c>
      <c r="P29" s="52"/>
      <c r="Q29" s="52"/>
      <c r="R29" s="52"/>
      <c r="S29" s="52"/>
      <c r="T29" s="52"/>
      <c r="U29" s="52"/>
      <c r="V29" s="55">
        <f t="shared" si="0"/>
        <v>6679.5</v>
      </c>
      <c r="W29" s="56"/>
      <c r="X29" s="57"/>
      <c r="Y29" s="58">
        <f t="shared" si="1"/>
        <v>-0.5714285714285714</v>
      </c>
      <c r="Z29" s="58" t="str">
        <f t="shared" si="2"/>
        <v/>
      </c>
      <c r="AA29" s="58" t="str">
        <f t="shared" si="3"/>
        <v/>
      </c>
      <c r="AB29" s="58" t="str">
        <f t="shared" si="4"/>
        <v/>
      </c>
      <c r="AC29" s="58">
        <f t="shared" si="5"/>
        <v>-9.8591549295774641E-2</v>
      </c>
      <c r="AD29" s="58">
        <f t="shared" si="6"/>
        <v>0.58057264552768573</v>
      </c>
    </row>
    <row r="30" spans="1:30" ht="14.25" customHeight="1">
      <c r="A30" s="49">
        <f>'Raw Data'!A29</f>
        <v>45748</v>
      </c>
      <c r="B30" s="50" t="str">
        <f>'Raw Data'!B29</f>
        <v>Apr</v>
      </c>
      <c r="C30" s="26">
        <f>'Raw Data'!C29</f>
        <v>2025</v>
      </c>
      <c r="D30" s="51">
        <v>4</v>
      </c>
      <c r="E30" s="52">
        <f>'Raw Data'!D29</f>
        <v>1106</v>
      </c>
      <c r="F30" s="51">
        <v>-3</v>
      </c>
      <c r="G30" s="52">
        <f>'Raw Data'!E29</f>
        <v>-829.5</v>
      </c>
      <c r="H30" s="51">
        <v>1</v>
      </c>
      <c r="I30" s="52">
        <f>'Raw Data'!F29</f>
        <v>275</v>
      </c>
      <c r="J30" s="53"/>
      <c r="K30" s="52">
        <f>'Raw Data'!G29</f>
        <v>0</v>
      </c>
      <c r="L30" s="59"/>
      <c r="M30" s="59"/>
      <c r="N30" s="51">
        <v>38</v>
      </c>
      <c r="O30" s="52">
        <f>'Raw Data'!H29</f>
        <v>190</v>
      </c>
      <c r="P30" s="52"/>
      <c r="Q30" s="52"/>
      <c r="R30" s="52"/>
      <c r="S30" s="52"/>
      <c r="T30" s="52"/>
      <c r="U30" s="52"/>
      <c r="V30" s="55">
        <f t="shared" si="0"/>
        <v>741.5</v>
      </c>
      <c r="W30" s="60" t="s">
        <v>68</v>
      </c>
      <c r="X30" s="57"/>
      <c r="Y30" s="58">
        <f t="shared" si="1"/>
        <v>-0.33333333333333331</v>
      </c>
      <c r="Z30" s="58">
        <f t="shared" si="2"/>
        <v>-1.5</v>
      </c>
      <c r="AA30" s="58">
        <f t="shared" si="3"/>
        <v>-0.90958408679927671</v>
      </c>
      <c r="AB30" s="58" t="str">
        <f t="shared" si="4"/>
        <v/>
      </c>
      <c r="AC30" s="58">
        <f t="shared" si="5"/>
        <v>-0.40625</v>
      </c>
      <c r="AD30" s="58">
        <f t="shared" si="6"/>
        <v>-0.88898869675873937</v>
      </c>
    </row>
    <row r="31" spans="1:30" ht="14.25" customHeight="1">
      <c r="A31" s="49">
        <f>'Raw Data'!A30</f>
        <v>45778</v>
      </c>
      <c r="B31" s="50" t="str">
        <f>'Raw Data'!B30</f>
        <v>May</v>
      </c>
      <c r="C31" s="26">
        <f>'Raw Data'!C30</f>
        <v>2025</v>
      </c>
      <c r="D31" s="51">
        <v>13</v>
      </c>
      <c r="E31" s="52">
        <f>'Raw Data'!D30</f>
        <v>3594.5</v>
      </c>
      <c r="F31" s="51">
        <v>2</v>
      </c>
      <c r="G31" s="52">
        <f>'Raw Data'!E30</f>
        <v>276.5</v>
      </c>
      <c r="H31" s="53"/>
      <c r="I31" s="52">
        <f>'Raw Data'!F30</f>
        <v>0</v>
      </c>
      <c r="J31" s="53"/>
      <c r="K31" s="52">
        <f>'Raw Data'!G30</f>
        <v>0</v>
      </c>
      <c r="L31" s="54"/>
      <c r="M31" s="54"/>
      <c r="N31" s="53"/>
      <c r="O31" s="52">
        <f>'Raw Data'!H30</f>
        <v>0</v>
      </c>
      <c r="P31" s="52"/>
      <c r="Q31" s="52"/>
      <c r="R31" s="52"/>
      <c r="S31" s="52"/>
      <c r="T31" s="52"/>
      <c r="U31" s="52"/>
      <c r="V31" s="55">
        <f t="shared" si="0"/>
        <v>3871</v>
      </c>
      <c r="W31" s="56"/>
      <c r="X31" s="57"/>
      <c r="Y31" s="58">
        <f t="shared" si="1"/>
        <v>2.25</v>
      </c>
      <c r="Z31" s="58">
        <f t="shared" si="2"/>
        <v>-1.3333333333333333</v>
      </c>
      <c r="AA31" s="58">
        <f t="shared" si="3"/>
        <v>-1</v>
      </c>
      <c r="AB31" s="58" t="str">
        <f t="shared" si="4"/>
        <v/>
      </c>
      <c r="AC31" s="58">
        <f t="shared" si="5"/>
        <v>-1</v>
      </c>
      <c r="AD31" s="58">
        <f t="shared" si="6"/>
        <v>4.2204989885367494</v>
      </c>
    </row>
    <row r="32" spans="1:30" ht="14.25" customHeight="1">
      <c r="A32" s="49">
        <f>'Raw Data'!A31</f>
        <v>45809</v>
      </c>
      <c r="B32" s="50" t="str">
        <f>'Raw Data'!B31</f>
        <v>Jun</v>
      </c>
      <c r="C32" s="26">
        <f>'Raw Data'!C31</f>
        <v>2025</v>
      </c>
      <c r="D32" s="51">
        <v>6</v>
      </c>
      <c r="E32" s="52">
        <f>'Raw Data'!D31</f>
        <v>1659</v>
      </c>
      <c r="F32" s="51">
        <v>7</v>
      </c>
      <c r="G32" s="52">
        <f>'Raw Data'!E31</f>
        <v>1935.5</v>
      </c>
      <c r="H32" s="53"/>
      <c r="I32" s="52">
        <f>'Raw Data'!F31</f>
        <v>0</v>
      </c>
      <c r="J32" s="53"/>
      <c r="K32" s="52">
        <f>'Raw Data'!G31</f>
        <v>0</v>
      </c>
      <c r="L32" s="59"/>
      <c r="M32" s="59"/>
      <c r="N32" s="51">
        <v>42</v>
      </c>
      <c r="O32" s="52">
        <f>'Raw Data'!H31</f>
        <v>210</v>
      </c>
      <c r="P32" s="52"/>
      <c r="Q32" s="52"/>
      <c r="R32" s="52"/>
      <c r="S32" s="52"/>
      <c r="T32" s="52"/>
      <c r="U32" s="52"/>
      <c r="V32" s="55">
        <f t="shared" si="0"/>
        <v>3804.5</v>
      </c>
      <c r="W32" s="56"/>
      <c r="X32" s="57"/>
      <c r="Y32" s="58">
        <f t="shared" si="1"/>
        <v>-0.53846153846153844</v>
      </c>
      <c r="Z32" s="58">
        <f t="shared" si="2"/>
        <v>6</v>
      </c>
      <c r="AA32" s="58" t="str">
        <f t="shared" si="3"/>
        <v/>
      </c>
      <c r="AB32" s="58" t="str">
        <f t="shared" si="4"/>
        <v/>
      </c>
      <c r="AC32" s="58" t="str">
        <f t="shared" si="5"/>
        <v/>
      </c>
      <c r="AD32" s="58">
        <f t="shared" si="6"/>
        <v>-1.7179023508137433E-2</v>
      </c>
    </row>
    <row r="33" spans="1:30" ht="14.25" customHeight="1">
      <c r="A33" s="49">
        <f>'Raw Data'!A32</f>
        <v>45839</v>
      </c>
      <c r="B33" s="50" t="str">
        <f>'Raw Data'!B32</f>
        <v>Jul</v>
      </c>
      <c r="C33" s="26">
        <f>'Raw Data'!C32</f>
        <v>2025</v>
      </c>
      <c r="D33" s="51">
        <v>15</v>
      </c>
      <c r="E33" s="52">
        <f>'Raw Data'!D32</f>
        <v>4147.5</v>
      </c>
      <c r="F33" s="51">
        <v>8</v>
      </c>
      <c r="G33" s="52">
        <f>'Raw Data'!E32</f>
        <v>2212</v>
      </c>
      <c r="H33" s="51">
        <v>1</v>
      </c>
      <c r="I33" s="52">
        <f>'Raw Data'!F32</f>
        <v>276.5</v>
      </c>
      <c r="J33" s="51">
        <v>12</v>
      </c>
      <c r="K33" s="52">
        <f>'Raw Data'!G32</f>
        <v>3041.5</v>
      </c>
      <c r="L33" s="59"/>
      <c r="M33" s="59"/>
      <c r="N33" s="51">
        <v>15</v>
      </c>
      <c r="O33" s="52">
        <f>'Raw Data'!H32</f>
        <v>75</v>
      </c>
      <c r="P33" s="52"/>
      <c r="Q33" s="52"/>
      <c r="R33" s="52"/>
      <c r="S33" s="52"/>
      <c r="T33" s="52"/>
      <c r="U33" s="52"/>
      <c r="V33" s="55">
        <f t="shared" si="0"/>
        <v>9752.5</v>
      </c>
      <c r="W33" s="56"/>
      <c r="X33" s="57"/>
      <c r="Y33" s="58">
        <f t="shared" si="1"/>
        <v>1.5</v>
      </c>
      <c r="Z33" s="58">
        <f t="shared" si="2"/>
        <v>0.14285714285714285</v>
      </c>
      <c r="AA33" s="58" t="str">
        <f t="shared" si="3"/>
        <v/>
      </c>
      <c r="AB33" s="58" t="str">
        <f t="shared" si="4"/>
        <v/>
      </c>
      <c r="AC33" s="58">
        <f t="shared" si="5"/>
        <v>-0.6428571428571429</v>
      </c>
      <c r="AD33" s="58">
        <f t="shared" si="6"/>
        <v>1.563411749244316</v>
      </c>
    </row>
    <row r="34" spans="1:30" ht="14.25" customHeight="1">
      <c r="A34" s="49">
        <f>'Raw Data'!A33</f>
        <v>45870</v>
      </c>
      <c r="B34" s="50" t="str">
        <f>'Raw Data'!B33</f>
        <v>Aug</v>
      </c>
      <c r="C34" s="26">
        <f>'Raw Data'!C33</f>
        <v>2025</v>
      </c>
      <c r="D34" s="51">
        <v>13</v>
      </c>
      <c r="E34" s="52">
        <f>'Raw Data'!D33</f>
        <v>3594.5</v>
      </c>
      <c r="F34" s="51">
        <v>2</v>
      </c>
      <c r="G34" s="52">
        <f>'Raw Data'!E33</f>
        <v>551.5</v>
      </c>
      <c r="H34" s="51">
        <v>1</v>
      </c>
      <c r="I34" s="52">
        <f>'Raw Data'!F33</f>
        <v>276.5</v>
      </c>
      <c r="J34" s="53"/>
      <c r="K34" s="52">
        <f>'Raw Data'!G33</f>
        <v>0</v>
      </c>
      <c r="L34" s="59"/>
      <c r="M34" s="59"/>
      <c r="N34" s="51">
        <v>27</v>
      </c>
      <c r="O34" s="52">
        <f>'Raw Data'!H33</f>
        <v>135</v>
      </c>
      <c r="P34" s="52"/>
      <c r="Q34" s="52"/>
      <c r="R34" s="52"/>
      <c r="S34" s="52"/>
      <c r="T34" s="52"/>
      <c r="U34" s="52"/>
      <c r="V34" s="55">
        <f t="shared" si="0"/>
        <v>4557.5</v>
      </c>
      <c r="W34" s="56"/>
      <c r="X34" s="57"/>
      <c r="Y34" s="58">
        <f t="shared" si="1"/>
        <v>-0.13333333333333333</v>
      </c>
      <c r="Z34" s="58">
        <f t="shared" si="2"/>
        <v>-0.75067811934900541</v>
      </c>
      <c r="AA34" s="58">
        <f t="shared" si="3"/>
        <v>0</v>
      </c>
      <c r="AB34" s="58">
        <f t="shared" si="4"/>
        <v>-1</v>
      </c>
      <c r="AC34" s="58">
        <f t="shared" si="5"/>
        <v>0.8</v>
      </c>
      <c r="AD34" s="58">
        <f t="shared" si="6"/>
        <v>-0.53268392719815427</v>
      </c>
    </row>
    <row r="35" spans="1:30" ht="14.25" customHeight="1">
      <c r="A35" s="49">
        <f>'Raw Data'!A34</f>
        <v>45901</v>
      </c>
      <c r="B35" s="50" t="str">
        <f>'Raw Data'!B34</f>
        <v>Sep</v>
      </c>
      <c r="C35" s="26">
        <f>'Raw Data'!C34</f>
        <v>2025</v>
      </c>
      <c r="D35" s="51">
        <v>13</v>
      </c>
      <c r="E35" s="52">
        <f>'Raw Data'!D34</f>
        <v>3593</v>
      </c>
      <c r="F35" s="51">
        <v>9</v>
      </c>
      <c r="G35" s="52">
        <f>'Raw Data'!E34</f>
        <v>2488.5</v>
      </c>
      <c r="H35" s="51">
        <v>3</v>
      </c>
      <c r="I35" s="52">
        <f>'Raw Data'!F34</f>
        <v>828</v>
      </c>
      <c r="J35" s="53"/>
      <c r="K35" s="52">
        <f>'Raw Data'!G34</f>
        <v>0</v>
      </c>
      <c r="L35" s="59"/>
      <c r="M35" s="59"/>
      <c r="N35" s="51">
        <v>33</v>
      </c>
      <c r="O35" s="52">
        <f>'Raw Data'!H34</f>
        <v>165</v>
      </c>
      <c r="P35" s="52"/>
      <c r="Q35" s="52"/>
      <c r="R35" s="52"/>
      <c r="S35" s="52"/>
      <c r="T35" s="52"/>
      <c r="U35" s="52"/>
      <c r="V35" s="55">
        <f t="shared" si="0"/>
        <v>7074.5</v>
      </c>
      <c r="W35" s="56"/>
      <c r="X35" s="57"/>
      <c r="Y35" s="58">
        <f t="shared" si="1"/>
        <v>-4.1730421477256921E-4</v>
      </c>
      <c r="Z35" s="58">
        <f t="shared" si="2"/>
        <v>3.5122393472348143</v>
      </c>
      <c r="AA35" s="58">
        <f t="shared" si="3"/>
        <v>1.9945750452079567</v>
      </c>
      <c r="AB35" s="58" t="str">
        <f t="shared" si="4"/>
        <v/>
      </c>
      <c r="AC35" s="58">
        <f t="shared" si="5"/>
        <v>0.22222222222222221</v>
      </c>
      <c r="AD35" s="58">
        <f t="shared" si="6"/>
        <v>0.55227646736149205</v>
      </c>
    </row>
    <row r="36" spans="1:30" ht="14.25" customHeight="1">
      <c r="A36" s="49">
        <f>'Raw Data'!A35</f>
        <v>45931</v>
      </c>
      <c r="B36" s="50" t="str">
        <f>'Raw Data'!B35</f>
        <v>Oct</v>
      </c>
      <c r="C36" s="26">
        <f>'Raw Data'!C35</f>
        <v>2025</v>
      </c>
      <c r="D36" s="51">
        <v>11</v>
      </c>
      <c r="E36" s="52">
        <f>'Raw Data'!D35</f>
        <v>3038.5</v>
      </c>
      <c r="F36" s="53"/>
      <c r="G36" s="52">
        <f>'Raw Data'!E35</f>
        <v>0</v>
      </c>
      <c r="H36" s="51">
        <v>6</v>
      </c>
      <c r="I36" s="52">
        <f>'Raw Data'!F35</f>
        <v>1659</v>
      </c>
      <c r="J36" s="53"/>
      <c r="K36" s="52">
        <f>'Raw Data'!G35</f>
        <v>0</v>
      </c>
      <c r="L36" s="59"/>
      <c r="M36" s="59"/>
      <c r="N36" s="51">
        <v>99</v>
      </c>
      <c r="O36" s="52">
        <f>'Raw Data'!H35</f>
        <v>495</v>
      </c>
      <c r="P36" s="52"/>
      <c r="Q36" s="52"/>
      <c r="R36" s="52"/>
      <c r="S36" s="52"/>
      <c r="T36" s="52"/>
      <c r="U36" s="52"/>
      <c r="V36" s="55">
        <f t="shared" si="0"/>
        <v>5192.5</v>
      </c>
      <c r="W36" s="56"/>
      <c r="X36" s="57"/>
      <c r="Y36" s="58">
        <f t="shared" si="1"/>
        <v>-0.15432785972724741</v>
      </c>
      <c r="Z36" s="58">
        <f t="shared" si="2"/>
        <v>-1</v>
      </c>
      <c r="AA36" s="58">
        <f t="shared" si="3"/>
        <v>1.0036231884057971</v>
      </c>
      <c r="AB36" s="58" t="str">
        <f t="shared" si="4"/>
        <v/>
      </c>
      <c r="AC36" s="58">
        <f t="shared" si="5"/>
        <v>2</v>
      </c>
      <c r="AD36" s="58">
        <f t="shared" si="6"/>
        <v>-0.2660258675524772</v>
      </c>
    </row>
    <row r="37" spans="1:30" ht="14.25" customHeight="1">
      <c r="A37" s="49">
        <f>'Raw Data'!A36</f>
        <v>45962</v>
      </c>
      <c r="B37" s="50" t="str">
        <f>'Raw Data'!B36</f>
        <v>Nov</v>
      </c>
      <c r="C37" s="26">
        <f>'Raw Data'!C36</f>
        <v>2025</v>
      </c>
      <c r="D37" s="51">
        <v>9</v>
      </c>
      <c r="E37" s="72">
        <v>2284</v>
      </c>
      <c r="F37" s="51">
        <v>7</v>
      </c>
      <c r="G37" s="72">
        <v>1725</v>
      </c>
      <c r="H37" s="51">
        <v>2</v>
      </c>
      <c r="I37" s="72">
        <v>601</v>
      </c>
      <c r="J37" s="53"/>
      <c r="K37" s="52">
        <f>'Raw Data'!G36</f>
        <v>0</v>
      </c>
      <c r="L37" s="59"/>
      <c r="M37" s="59"/>
      <c r="N37" s="51">
        <v>37</v>
      </c>
      <c r="O37" s="72">
        <v>185</v>
      </c>
      <c r="P37" s="72"/>
      <c r="Q37" s="72"/>
      <c r="R37" s="72"/>
      <c r="S37" s="72"/>
      <c r="T37" s="72"/>
      <c r="U37" s="72"/>
      <c r="V37" s="55">
        <f t="shared" si="0"/>
        <v>4795</v>
      </c>
      <c r="W37" s="56"/>
      <c r="X37" s="57"/>
      <c r="Y37" s="58">
        <f t="shared" si="1"/>
        <v>-0.24831331248971533</v>
      </c>
      <c r="Z37" s="58" t="str">
        <f t="shared" si="2"/>
        <v/>
      </c>
      <c r="AA37" s="58">
        <f t="shared" si="3"/>
        <v>-0.63773357444243517</v>
      </c>
      <c r="AB37" s="58" t="str">
        <f t="shared" si="4"/>
        <v/>
      </c>
      <c r="AC37" s="58">
        <f t="shared" si="5"/>
        <v>-0.6262626262626263</v>
      </c>
      <c r="AD37" s="58">
        <f t="shared" si="6"/>
        <v>-7.6552720269619637E-2</v>
      </c>
    </row>
    <row r="38" spans="1:30" ht="14.25" customHeight="1">
      <c r="A38" s="49">
        <f>'Raw Data'!A37</f>
        <v>45992</v>
      </c>
      <c r="B38" s="50" t="str">
        <f>'Raw Data'!B37</f>
        <v>Dec</v>
      </c>
      <c r="C38" s="26">
        <f>'Raw Data'!C37</f>
        <v>2025</v>
      </c>
      <c r="D38" s="64">
        <v>8</v>
      </c>
      <c r="E38" s="73">
        <v>2404</v>
      </c>
      <c r="F38" s="64">
        <v>9</v>
      </c>
      <c r="G38" s="73">
        <v>2712.5</v>
      </c>
      <c r="H38" s="64">
        <v>3</v>
      </c>
      <c r="I38" s="73">
        <v>901.5</v>
      </c>
      <c r="J38" s="64">
        <v>3</v>
      </c>
      <c r="K38" s="73">
        <v>901.5</v>
      </c>
      <c r="L38" s="67">
        <v>17</v>
      </c>
      <c r="M38" s="74">
        <v>566.5</v>
      </c>
      <c r="N38" s="64">
        <v>54</v>
      </c>
      <c r="O38" s="73">
        <v>270</v>
      </c>
      <c r="P38" s="73"/>
      <c r="Q38" s="73"/>
      <c r="R38" s="73"/>
      <c r="S38" s="73"/>
      <c r="T38" s="73"/>
      <c r="U38" s="73"/>
      <c r="V38" s="68">
        <f t="shared" si="0"/>
        <v>7756</v>
      </c>
      <c r="W38" s="69"/>
      <c r="X38" s="57"/>
      <c r="Y38" s="75">
        <f t="shared" si="1"/>
        <v>5.2539404553415062E-2</v>
      </c>
      <c r="Z38" s="75">
        <f t="shared" si="2"/>
        <v>0.57246376811594202</v>
      </c>
      <c r="AA38" s="75">
        <f t="shared" si="3"/>
        <v>0.5</v>
      </c>
      <c r="AB38" s="75" t="str">
        <f t="shared" si="4"/>
        <v/>
      </c>
      <c r="AC38" s="75">
        <f t="shared" si="5"/>
        <v>0.45945945945945948</v>
      </c>
      <c r="AD38" s="75">
        <f t="shared" si="6"/>
        <v>0.61751824817518253</v>
      </c>
    </row>
    <row r="39" spans="1:30" ht="14.25" customHeight="1">
      <c r="A39" s="76">
        <v>46023</v>
      </c>
      <c r="B39" s="39" t="s">
        <v>19</v>
      </c>
      <c r="C39" s="77">
        <v>2026</v>
      </c>
      <c r="D39" s="51">
        <v>14</v>
      </c>
      <c r="E39" s="72">
        <v>4207.5</v>
      </c>
      <c r="F39" s="51">
        <v>13</v>
      </c>
      <c r="G39" s="72">
        <v>3055.5</v>
      </c>
      <c r="H39" s="51">
        <v>4</v>
      </c>
      <c r="I39" s="72">
        <v>1202</v>
      </c>
      <c r="J39" s="51">
        <v>-1</v>
      </c>
      <c r="K39" s="72">
        <v>-300.5</v>
      </c>
      <c r="L39" s="59">
        <v>39</v>
      </c>
      <c r="M39" s="59">
        <v>2368.5</v>
      </c>
      <c r="N39" s="51">
        <v>22</v>
      </c>
      <c r="O39" s="72">
        <v>110</v>
      </c>
      <c r="P39" s="78">
        <v>7</v>
      </c>
      <c r="Q39" s="72">
        <v>1585.5</v>
      </c>
      <c r="R39" s="78">
        <v>12</v>
      </c>
      <c r="S39" s="72">
        <v>618</v>
      </c>
      <c r="T39" s="72">
        <v>70</v>
      </c>
      <c r="U39" s="72">
        <v>3884</v>
      </c>
      <c r="V39" s="55">
        <f>SUM(E39+G39+I39+K39+M39+O39+Q39+S39+U39)</f>
        <v>16730.5</v>
      </c>
      <c r="W39" s="56"/>
    </row>
    <row r="40" spans="1:30" ht="14.25" customHeight="1">
      <c r="A40" s="79">
        <v>46054</v>
      </c>
      <c r="B40" s="50" t="s">
        <v>21</v>
      </c>
      <c r="C40" s="80">
        <v>2026</v>
      </c>
      <c r="D40" s="51"/>
      <c r="E40" s="72"/>
      <c r="F40" s="51"/>
      <c r="G40" s="72"/>
      <c r="H40" s="51"/>
      <c r="I40" s="72"/>
      <c r="J40" s="53"/>
      <c r="K40" s="52">
        <f>'Raw Data'!G39</f>
        <v>0</v>
      </c>
      <c r="L40" s="59"/>
      <c r="M40" s="59"/>
      <c r="N40" s="51"/>
      <c r="O40" s="72"/>
      <c r="P40" s="72"/>
      <c r="Q40" s="72"/>
      <c r="R40" s="72"/>
      <c r="S40" s="72"/>
      <c r="T40" s="72"/>
      <c r="U40" s="72"/>
      <c r="V40" s="55">
        <f t="shared" ref="V40:V50" si="7">SUM(E40+G40+I40+K40+M40+O40)</f>
        <v>0</v>
      </c>
      <c r="W40" s="56"/>
    </row>
    <row r="41" spans="1:30" ht="14.25" customHeight="1">
      <c r="A41" s="79">
        <v>46082</v>
      </c>
      <c r="B41" s="50" t="s">
        <v>23</v>
      </c>
      <c r="C41" s="80">
        <v>2026</v>
      </c>
      <c r="D41" s="51"/>
      <c r="E41" s="72"/>
      <c r="F41" s="51"/>
      <c r="G41" s="72"/>
      <c r="H41" s="51"/>
      <c r="I41" s="72"/>
      <c r="J41" s="53"/>
      <c r="K41" s="52">
        <f>'Raw Data'!G40</f>
        <v>0</v>
      </c>
      <c r="L41" s="59"/>
      <c r="M41" s="59"/>
      <c r="N41" s="51"/>
      <c r="O41" s="72"/>
      <c r="P41" s="72"/>
      <c r="Q41" s="72"/>
      <c r="R41" s="72"/>
      <c r="S41" s="72"/>
      <c r="T41" s="72"/>
      <c r="U41" s="72"/>
      <c r="V41" s="55">
        <f t="shared" si="7"/>
        <v>0</v>
      </c>
      <c r="W41" s="56"/>
    </row>
    <row r="42" spans="1:30" ht="14.25" customHeight="1">
      <c r="A42" s="79">
        <v>46113</v>
      </c>
      <c r="B42" s="50" t="s">
        <v>25</v>
      </c>
      <c r="C42" s="80">
        <v>2026</v>
      </c>
      <c r="D42" s="51"/>
      <c r="E42" s="72"/>
      <c r="F42" s="51"/>
      <c r="G42" s="72"/>
      <c r="H42" s="51"/>
      <c r="I42" s="72"/>
      <c r="J42" s="53"/>
      <c r="K42" s="52">
        <f>'Raw Data'!G41</f>
        <v>0</v>
      </c>
      <c r="L42" s="59"/>
      <c r="M42" s="59"/>
      <c r="N42" s="51"/>
      <c r="O42" s="72"/>
      <c r="P42" s="72"/>
      <c r="Q42" s="72"/>
      <c r="R42" s="72"/>
      <c r="S42" s="72"/>
      <c r="T42" s="72"/>
      <c r="U42" s="72"/>
      <c r="V42" s="55">
        <f t="shared" si="7"/>
        <v>0</v>
      </c>
      <c r="W42" s="56"/>
    </row>
    <row r="43" spans="1:30" ht="14.25" customHeight="1">
      <c r="A43" s="79">
        <v>46143</v>
      </c>
      <c r="B43" s="50" t="s">
        <v>27</v>
      </c>
      <c r="C43" s="80">
        <v>2026</v>
      </c>
      <c r="D43" s="51"/>
      <c r="E43" s="72"/>
      <c r="F43" s="51"/>
      <c r="G43" s="72"/>
      <c r="H43" s="51"/>
      <c r="I43" s="72"/>
      <c r="J43" s="53"/>
      <c r="K43" s="52">
        <f>'Raw Data'!G42</f>
        <v>0</v>
      </c>
      <c r="L43" s="59"/>
      <c r="M43" s="59"/>
      <c r="N43" s="51"/>
      <c r="O43" s="72"/>
      <c r="P43" s="72"/>
      <c r="Q43" s="72"/>
      <c r="R43" s="72"/>
      <c r="S43" s="72"/>
      <c r="T43" s="72"/>
      <c r="U43" s="72"/>
      <c r="V43" s="55">
        <f t="shared" si="7"/>
        <v>0</v>
      </c>
      <c r="W43" s="56"/>
    </row>
    <row r="44" spans="1:30" ht="14.25" customHeight="1">
      <c r="A44" s="79">
        <v>46174</v>
      </c>
      <c r="B44" s="50" t="s">
        <v>28</v>
      </c>
      <c r="C44" s="80">
        <v>2026</v>
      </c>
      <c r="D44" s="51"/>
      <c r="E44" s="72"/>
      <c r="F44" s="51"/>
      <c r="G44" s="72"/>
      <c r="H44" s="51"/>
      <c r="I44" s="72"/>
      <c r="J44" s="53"/>
      <c r="K44" s="52">
        <f>'Raw Data'!G43</f>
        <v>0</v>
      </c>
      <c r="L44" s="59"/>
      <c r="M44" s="59"/>
      <c r="N44" s="51"/>
      <c r="O44" s="72"/>
      <c r="P44" s="72"/>
      <c r="Q44" s="72"/>
      <c r="R44" s="72"/>
      <c r="S44" s="72"/>
      <c r="T44" s="72"/>
      <c r="U44" s="72"/>
      <c r="V44" s="55">
        <f t="shared" si="7"/>
        <v>0</v>
      </c>
      <c r="W44" s="56"/>
    </row>
    <row r="45" spans="1:30" ht="14.25" customHeight="1">
      <c r="A45" s="79">
        <v>46204</v>
      </c>
      <c r="B45" s="50" t="s">
        <v>29</v>
      </c>
      <c r="C45" s="80">
        <v>2026</v>
      </c>
      <c r="D45" s="51"/>
      <c r="E45" s="72"/>
      <c r="F45" s="51"/>
      <c r="G45" s="72"/>
      <c r="H45" s="51"/>
      <c r="I45" s="72"/>
      <c r="J45" s="53"/>
      <c r="K45" s="52">
        <f>'Raw Data'!G44</f>
        <v>0</v>
      </c>
      <c r="L45" s="59"/>
      <c r="M45" s="59"/>
      <c r="N45" s="51"/>
      <c r="O45" s="72"/>
      <c r="P45" s="72"/>
      <c r="Q45" s="72"/>
      <c r="R45" s="72"/>
      <c r="S45" s="72"/>
      <c r="T45" s="72"/>
      <c r="U45" s="72"/>
      <c r="V45" s="55">
        <f t="shared" si="7"/>
        <v>0</v>
      </c>
      <c r="W45" s="56"/>
    </row>
    <row r="46" spans="1:30" ht="14.25" customHeight="1">
      <c r="A46" s="79">
        <v>46235</v>
      </c>
      <c r="B46" s="50" t="s">
        <v>30</v>
      </c>
      <c r="C46" s="80">
        <v>2026</v>
      </c>
      <c r="D46" s="51"/>
      <c r="E46" s="72"/>
      <c r="F46" s="51"/>
      <c r="G46" s="72"/>
      <c r="H46" s="51"/>
      <c r="I46" s="72"/>
      <c r="J46" s="53"/>
      <c r="K46" s="52">
        <f>'Raw Data'!G45</f>
        <v>0</v>
      </c>
      <c r="L46" s="59"/>
      <c r="M46" s="59"/>
      <c r="N46" s="51"/>
      <c r="O46" s="72"/>
      <c r="P46" s="72"/>
      <c r="Q46" s="72"/>
      <c r="R46" s="72"/>
      <c r="S46" s="72"/>
      <c r="T46" s="72"/>
      <c r="U46" s="72"/>
      <c r="V46" s="55">
        <f t="shared" si="7"/>
        <v>0</v>
      </c>
      <c r="W46" s="56"/>
    </row>
    <row r="47" spans="1:30" ht="14.25" customHeight="1">
      <c r="A47" s="79">
        <v>46266</v>
      </c>
      <c r="B47" s="50" t="s">
        <v>32</v>
      </c>
      <c r="C47" s="80">
        <v>2026</v>
      </c>
      <c r="D47" s="51"/>
      <c r="E47" s="72"/>
      <c r="F47" s="51"/>
      <c r="G47" s="72"/>
      <c r="H47" s="51"/>
      <c r="I47" s="72"/>
      <c r="J47" s="53"/>
      <c r="K47" s="52">
        <f>'Raw Data'!G46</f>
        <v>0</v>
      </c>
      <c r="L47" s="59"/>
      <c r="M47" s="59"/>
      <c r="N47" s="51"/>
      <c r="O47" s="72"/>
      <c r="P47" s="72"/>
      <c r="Q47" s="72"/>
      <c r="R47" s="72"/>
      <c r="S47" s="72"/>
      <c r="T47" s="72"/>
      <c r="U47" s="72"/>
      <c r="V47" s="55">
        <f t="shared" si="7"/>
        <v>0</v>
      </c>
      <c r="W47" s="56"/>
    </row>
    <row r="48" spans="1:30" ht="14.25" customHeight="1">
      <c r="A48" s="79">
        <v>46296</v>
      </c>
      <c r="B48" s="50" t="s">
        <v>33</v>
      </c>
      <c r="C48" s="80">
        <v>2026</v>
      </c>
      <c r="D48" s="51"/>
      <c r="E48" s="72"/>
      <c r="F48" s="51"/>
      <c r="G48" s="72"/>
      <c r="H48" s="51"/>
      <c r="I48" s="72"/>
      <c r="J48" s="53"/>
      <c r="K48" s="52">
        <f>'Raw Data'!G47</f>
        <v>0</v>
      </c>
      <c r="L48" s="59"/>
      <c r="M48" s="59"/>
      <c r="N48" s="51"/>
      <c r="O48" s="72"/>
      <c r="P48" s="72"/>
      <c r="Q48" s="72"/>
      <c r="R48" s="72"/>
      <c r="S48" s="72"/>
      <c r="T48" s="72"/>
      <c r="U48" s="72"/>
      <c r="V48" s="55">
        <f t="shared" si="7"/>
        <v>0</v>
      </c>
      <c r="W48" s="56"/>
    </row>
    <row r="49" spans="1:23" ht="14.25" customHeight="1">
      <c r="A49" s="79">
        <v>46327</v>
      </c>
      <c r="B49" s="50" t="s">
        <v>34</v>
      </c>
      <c r="C49" s="80">
        <v>2026</v>
      </c>
      <c r="D49" s="51"/>
      <c r="E49" s="72"/>
      <c r="F49" s="51"/>
      <c r="G49" s="72"/>
      <c r="H49" s="51"/>
      <c r="I49" s="72"/>
      <c r="J49" s="53"/>
      <c r="K49" s="52">
        <f>'Raw Data'!G48</f>
        <v>0</v>
      </c>
      <c r="L49" s="59"/>
      <c r="M49" s="59"/>
      <c r="N49" s="51"/>
      <c r="O49" s="72"/>
      <c r="P49" s="72"/>
      <c r="Q49" s="72"/>
      <c r="R49" s="72"/>
      <c r="S49" s="72"/>
      <c r="T49" s="72"/>
      <c r="U49" s="72"/>
      <c r="V49" s="55">
        <f t="shared" si="7"/>
        <v>0</v>
      </c>
      <c r="W49" s="56"/>
    </row>
    <row r="50" spans="1:23" ht="14.25" customHeight="1">
      <c r="A50" s="81">
        <v>46357</v>
      </c>
      <c r="B50" s="62" t="s">
        <v>35</v>
      </c>
      <c r="C50" s="82">
        <v>2026</v>
      </c>
      <c r="D50" s="51"/>
      <c r="E50" s="72"/>
      <c r="F50" s="51"/>
      <c r="G50" s="72"/>
      <c r="H50" s="51"/>
      <c r="I50" s="72"/>
      <c r="J50" s="53"/>
      <c r="K50" s="52">
        <f>'Raw Data'!G49</f>
        <v>0</v>
      </c>
      <c r="L50" s="59"/>
      <c r="M50" s="59"/>
      <c r="N50" s="51"/>
      <c r="O50" s="72"/>
      <c r="P50" s="72"/>
      <c r="Q50" s="72"/>
      <c r="R50" s="72"/>
      <c r="S50" s="72"/>
      <c r="T50" s="72"/>
      <c r="U50" s="72"/>
      <c r="V50" s="55">
        <f t="shared" si="7"/>
        <v>0</v>
      </c>
      <c r="W50" s="56"/>
    </row>
    <row r="51" spans="1:23" ht="14.25" customHeight="1">
      <c r="D51" s="25"/>
      <c r="F51" s="25"/>
      <c r="H51" s="25"/>
      <c r="J51" s="25"/>
      <c r="L51" s="25"/>
      <c r="M51" s="25"/>
      <c r="N51" s="25"/>
    </row>
    <row r="52" spans="1:23" ht="14.25" customHeight="1">
      <c r="D52" s="25"/>
      <c r="F52" s="25"/>
      <c r="H52" s="25"/>
      <c r="J52" s="25"/>
      <c r="L52" s="25"/>
      <c r="M52" s="25"/>
      <c r="N52" s="25"/>
    </row>
    <row r="53" spans="1:23" ht="14.25" customHeight="1">
      <c r="D53" s="25"/>
      <c r="F53" s="25"/>
      <c r="H53" s="25"/>
      <c r="J53" s="25"/>
      <c r="L53" s="25"/>
      <c r="M53" s="25"/>
      <c r="N53" s="83">
        <v>7</v>
      </c>
      <c r="O53" s="8">
        <v>1585.5</v>
      </c>
      <c r="P53" s="8"/>
      <c r="Q53" s="8"/>
      <c r="R53" s="8"/>
      <c r="S53" s="8"/>
      <c r="T53" s="8"/>
      <c r="U53" s="8"/>
      <c r="V53" s="13">
        <f>V39+O53</f>
        <v>18316</v>
      </c>
    </row>
    <row r="54" spans="1:23" ht="14.25" customHeight="1">
      <c r="D54" s="25"/>
      <c r="F54" s="25"/>
      <c r="H54" s="25"/>
      <c r="J54" s="25"/>
      <c r="L54" s="25"/>
      <c r="M54" s="25"/>
      <c r="N54" s="25"/>
    </row>
    <row r="55" spans="1:23" ht="14.25" customHeight="1">
      <c r="D55" s="25"/>
      <c r="F55" s="25"/>
      <c r="H55" s="25"/>
      <c r="J55" s="25"/>
      <c r="L55" s="25"/>
      <c r="M55" s="25"/>
      <c r="N55" s="25"/>
    </row>
    <row r="56" spans="1:23" ht="14.25" customHeight="1">
      <c r="D56" s="25"/>
      <c r="F56" s="25"/>
      <c r="H56" s="25"/>
      <c r="J56" s="25"/>
      <c r="L56" s="25"/>
      <c r="M56" s="25"/>
      <c r="N56" s="25"/>
    </row>
    <row r="57" spans="1:23" ht="14.25" customHeight="1">
      <c r="D57" s="25"/>
      <c r="F57" s="25"/>
      <c r="H57" s="25"/>
      <c r="J57" s="25"/>
      <c r="L57" s="25"/>
      <c r="M57" s="25"/>
      <c r="N57" s="25"/>
    </row>
    <row r="58" spans="1:23" ht="14.25" customHeight="1">
      <c r="D58" s="25"/>
      <c r="F58" s="25"/>
      <c r="H58" s="25"/>
      <c r="J58" s="25"/>
      <c r="L58" s="25"/>
      <c r="M58" s="25"/>
      <c r="N58" s="25"/>
    </row>
    <row r="59" spans="1:23" ht="14.25" customHeight="1">
      <c r="D59" s="25"/>
      <c r="F59" s="25"/>
      <c r="H59" s="25"/>
      <c r="J59" s="25"/>
      <c r="L59" s="25"/>
      <c r="M59" s="25"/>
      <c r="N59" s="25"/>
    </row>
    <row r="60" spans="1:23" ht="14.25" customHeight="1">
      <c r="D60" s="25"/>
      <c r="F60" s="25"/>
      <c r="H60" s="25"/>
      <c r="J60" s="25"/>
      <c r="L60" s="25"/>
      <c r="M60" s="25"/>
      <c r="N60" s="25"/>
    </row>
    <row r="61" spans="1:23" ht="14.25" customHeight="1">
      <c r="D61" s="25"/>
      <c r="F61" s="25"/>
      <c r="H61" s="25"/>
      <c r="J61" s="25"/>
      <c r="L61" s="25"/>
      <c r="M61" s="25"/>
      <c r="N61" s="25"/>
    </row>
    <row r="62" spans="1:23" ht="14.25" customHeight="1">
      <c r="D62" s="25"/>
      <c r="F62" s="25"/>
      <c r="H62" s="25"/>
      <c r="J62" s="25"/>
      <c r="L62" s="25"/>
      <c r="M62" s="25"/>
      <c r="N62" s="25"/>
    </row>
    <row r="63" spans="1:23" ht="14.25" customHeight="1">
      <c r="D63" s="25"/>
      <c r="F63" s="25"/>
      <c r="H63" s="25"/>
      <c r="J63" s="25"/>
      <c r="L63" s="25"/>
      <c r="M63" s="25"/>
      <c r="N63" s="25"/>
    </row>
    <row r="64" spans="1:23" ht="14.25" customHeight="1">
      <c r="D64" s="25"/>
      <c r="F64" s="25"/>
      <c r="H64" s="25"/>
      <c r="J64" s="25"/>
      <c r="L64" s="25"/>
      <c r="M64" s="25"/>
      <c r="N64" s="25"/>
    </row>
    <row r="65" spans="4:14" ht="14.25" customHeight="1">
      <c r="D65" s="25"/>
      <c r="F65" s="25"/>
      <c r="H65" s="25"/>
      <c r="J65" s="25"/>
      <c r="L65" s="25"/>
      <c r="M65" s="25"/>
      <c r="N65" s="25"/>
    </row>
    <row r="66" spans="4:14" ht="14.25" customHeight="1">
      <c r="D66" s="25"/>
      <c r="F66" s="25"/>
      <c r="H66" s="25"/>
      <c r="J66" s="25"/>
      <c r="L66" s="25"/>
      <c r="M66" s="25"/>
      <c r="N66" s="25"/>
    </row>
    <row r="67" spans="4:14" ht="14.25" customHeight="1">
      <c r="D67" s="25"/>
      <c r="F67" s="25"/>
      <c r="H67" s="25"/>
      <c r="J67" s="25"/>
      <c r="L67" s="25"/>
      <c r="M67" s="25"/>
      <c r="N67" s="25"/>
    </row>
    <row r="68" spans="4:14" ht="14.25" customHeight="1">
      <c r="D68" s="25"/>
      <c r="F68" s="25"/>
      <c r="H68" s="25"/>
      <c r="J68" s="25"/>
      <c r="L68" s="25"/>
      <c r="M68" s="25"/>
      <c r="N68" s="25"/>
    </row>
    <row r="69" spans="4:14" ht="14.25" customHeight="1">
      <c r="D69" s="25"/>
      <c r="F69" s="25"/>
      <c r="H69" s="25"/>
      <c r="J69" s="25"/>
      <c r="L69" s="25"/>
      <c r="M69" s="25"/>
      <c r="N69" s="25"/>
    </row>
    <row r="70" spans="4:14" ht="14.25" customHeight="1">
      <c r="D70" s="25"/>
      <c r="F70" s="25"/>
      <c r="H70" s="25"/>
      <c r="J70" s="25"/>
      <c r="L70" s="25"/>
      <c r="M70" s="25"/>
      <c r="N70" s="25"/>
    </row>
    <row r="71" spans="4:14" ht="14.25" customHeight="1">
      <c r="D71" s="25"/>
      <c r="F71" s="25"/>
      <c r="H71" s="25"/>
      <c r="J71" s="25"/>
      <c r="L71" s="25"/>
      <c r="M71" s="25"/>
      <c r="N71" s="25"/>
    </row>
    <row r="72" spans="4:14" ht="14.25" customHeight="1">
      <c r="D72" s="25"/>
      <c r="F72" s="25"/>
      <c r="H72" s="25"/>
      <c r="J72" s="25"/>
      <c r="L72" s="25"/>
      <c r="M72" s="25"/>
      <c r="N72" s="25"/>
    </row>
    <row r="73" spans="4:14" ht="14.25" customHeight="1">
      <c r="D73" s="25"/>
      <c r="F73" s="25"/>
      <c r="H73" s="25"/>
      <c r="J73" s="25"/>
      <c r="L73" s="25"/>
      <c r="M73" s="25"/>
      <c r="N73" s="25"/>
    </row>
    <row r="74" spans="4:14" ht="14.25" customHeight="1">
      <c r="D74" s="25"/>
      <c r="F74" s="25"/>
      <c r="H74" s="25"/>
      <c r="J74" s="25"/>
      <c r="L74" s="25"/>
      <c r="M74" s="25"/>
      <c r="N74" s="25"/>
    </row>
    <row r="75" spans="4:14" ht="14.25" customHeight="1">
      <c r="D75" s="25"/>
      <c r="F75" s="25"/>
      <c r="H75" s="25"/>
      <c r="J75" s="25"/>
      <c r="L75" s="25"/>
      <c r="M75" s="25"/>
      <c r="N75" s="25"/>
    </row>
    <row r="76" spans="4:14" ht="14.25" customHeight="1">
      <c r="D76" s="25"/>
      <c r="F76" s="25"/>
      <c r="H76" s="25"/>
      <c r="J76" s="25"/>
      <c r="L76" s="25"/>
      <c r="M76" s="25"/>
      <c r="N76" s="25"/>
    </row>
    <row r="77" spans="4:14" ht="14.25" customHeight="1">
      <c r="D77" s="25"/>
      <c r="F77" s="25"/>
      <c r="H77" s="25"/>
      <c r="J77" s="25"/>
      <c r="L77" s="25"/>
      <c r="M77" s="25"/>
      <c r="N77" s="25"/>
    </row>
    <row r="78" spans="4:14" ht="14.25" customHeight="1">
      <c r="D78" s="25"/>
      <c r="F78" s="25"/>
      <c r="H78" s="25"/>
      <c r="J78" s="25"/>
      <c r="L78" s="25"/>
      <c r="M78" s="25"/>
      <c r="N78" s="25"/>
    </row>
    <row r="79" spans="4:14" ht="14.25" customHeight="1">
      <c r="D79" s="25"/>
      <c r="F79" s="25"/>
      <c r="H79" s="25"/>
      <c r="J79" s="25"/>
      <c r="L79" s="25"/>
      <c r="M79" s="25"/>
      <c r="N79" s="25"/>
    </row>
    <row r="80" spans="4:14" ht="14.25" customHeight="1">
      <c r="D80" s="25"/>
      <c r="F80" s="25"/>
      <c r="H80" s="25"/>
      <c r="J80" s="25"/>
      <c r="L80" s="25"/>
      <c r="M80" s="25"/>
      <c r="N80" s="25"/>
    </row>
    <row r="81" spans="4:14" ht="14.25" customHeight="1">
      <c r="D81" s="25"/>
      <c r="F81" s="25"/>
      <c r="H81" s="25"/>
      <c r="J81" s="25"/>
      <c r="L81" s="25"/>
      <c r="M81" s="25"/>
      <c r="N81" s="25"/>
    </row>
    <row r="82" spans="4:14" ht="14.25" customHeight="1">
      <c r="D82" s="25"/>
      <c r="F82" s="25"/>
      <c r="H82" s="25"/>
      <c r="J82" s="25"/>
      <c r="L82" s="25"/>
      <c r="M82" s="25"/>
      <c r="N82" s="25"/>
    </row>
    <row r="83" spans="4:14" ht="14.25" customHeight="1">
      <c r="D83" s="25"/>
      <c r="F83" s="25"/>
      <c r="H83" s="25"/>
      <c r="J83" s="25"/>
      <c r="L83" s="25"/>
      <c r="M83" s="25"/>
      <c r="N83" s="25"/>
    </row>
    <row r="84" spans="4:14" ht="14.25" customHeight="1">
      <c r="D84" s="25"/>
      <c r="F84" s="25"/>
      <c r="H84" s="25"/>
      <c r="J84" s="25"/>
      <c r="L84" s="25"/>
      <c r="M84" s="25"/>
      <c r="N84" s="25"/>
    </row>
    <row r="85" spans="4:14" ht="14.25" customHeight="1">
      <c r="D85" s="25"/>
      <c r="F85" s="25"/>
      <c r="H85" s="25"/>
      <c r="J85" s="25"/>
      <c r="L85" s="25"/>
      <c r="M85" s="25"/>
      <c r="N85" s="25"/>
    </row>
    <row r="86" spans="4:14" ht="14.25" customHeight="1">
      <c r="D86" s="25"/>
      <c r="F86" s="25"/>
      <c r="H86" s="25"/>
      <c r="J86" s="25"/>
      <c r="L86" s="25"/>
      <c r="M86" s="25"/>
      <c r="N86" s="25"/>
    </row>
    <row r="87" spans="4:14" ht="14.25" customHeight="1">
      <c r="D87" s="25"/>
      <c r="F87" s="25"/>
      <c r="H87" s="25"/>
      <c r="J87" s="25"/>
      <c r="L87" s="25"/>
      <c r="M87" s="25"/>
      <c r="N87" s="25"/>
    </row>
    <row r="88" spans="4:14" ht="14.25" customHeight="1">
      <c r="D88" s="25"/>
      <c r="F88" s="25"/>
      <c r="H88" s="25"/>
      <c r="J88" s="25"/>
      <c r="L88" s="25"/>
      <c r="M88" s="25"/>
      <c r="N88" s="25"/>
    </row>
    <row r="89" spans="4:14" ht="14.25" customHeight="1">
      <c r="D89" s="25"/>
      <c r="F89" s="25"/>
      <c r="H89" s="25"/>
      <c r="J89" s="25"/>
      <c r="L89" s="25"/>
      <c r="M89" s="25"/>
      <c r="N89" s="25"/>
    </row>
    <row r="90" spans="4:14" ht="14.25" customHeight="1">
      <c r="D90" s="25"/>
      <c r="F90" s="25"/>
      <c r="H90" s="25"/>
      <c r="J90" s="25"/>
      <c r="L90" s="25"/>
      <c r="M90" s="25"/>
      <c r="N90" s="25"/>
    </row>
    <row r="91" spans="4:14" ht="14.25" customHeight="1">
      <c r="D91" s="25"/>
      <c r="F91" s="25"/>
      <c r="H91" s="25"/>
      <c r="J91" s="25"/>
      <c r="L91" s="25"/>
      <c r="M91" s="25"/>
      <c r="N91" s="25"/>
    </row>
    <row r="92" spans="4:14" ht="14.25" customHeight="1">
      <c r="D92" s="25"/>
      <c r="F92" s="25"/>
      <c r="H92" s="25"/>
      <c r="J92" s="25"/>
      <c r="L92" s="25"/>
      <c r="M92" s="25"/>
      <c r="N92" s="25"/>
    </row>
    <row r="93" spans="4:14" ht="14.25" customHeight="1">
      <c r="D93" s="25"/>
      <c r="F93" s="25"/>
      <c r="H93" s="25"/>
      <c r="J93" s="25"/>
      <c r="L93" s="25"/>
      <c r="M93" s="25"/>
      <c r="N93" s="25"/>
    </row>
    <row r="94" spans="4:14" ht="14.25" customHeight="1">
      <c r="D94" s="25"/>
      <c r="F94" s="25"/>
      <c r="H94" s="25"/>
      <c r="J94" s="25"/>
      <c r="L94" s="25"/>
      <c r="M94" s="25"/>
      <c r="N94" s="25"/>
    </row>
    <row r="95" spans="4:14" ht="14.25" customHeight="1">
      <c r="D95" s="25"/>
      <c r="F95" s="25"/>
      <c r="H95" s="25"/>
      <c r="J95" s="25"/>
      <c r="L95" s="25"/>
      <c r="M95" s="25"/>
      <c r="N95" s="25"/>
    </row>
    <row r="96" spans="4:14" ht="14.25" customHeight="1">
      <c r="D96" s="25"/>
      <c r="F96" s="25"/>
      <c r="H96" s="25"/>
      <c r="J96" s="25"/>
      <c r="L96" s="25"/>
      <c r="M96" s="25"/>
      <c r="N96" s="25"/>
    </row>
    <row r="97" spans="4:14" ht="14.25" customHeight="1">
      <c r="D97" s="25"/>
      <c r="F97" s="25"/>
      <c r="H97" s="25"/>
      <c r="J97" s="25"/>
      <c r="L97" s="25"/>
      <c r="M97" s="25"/>
      <c r="N97" s="25"/>
    </row>
    <row r="98" spans="4:14" ht="14.25" customHeight="1">
      <c r="D98" s="25"/>
      <c r="F98" s="25"/>
      <c r="H98" s="25"/>
      <c r="J98" s="25"/>
      <c r="L98" s="25"/>
      <c r="M98" s="25"/>
      <c r="N98" s="25"/>
    </row>
    <row r="99" spans="4:14" ht="14.25" customHeight="1">
      <c r="D99" s="25"/>
      <c r="F99" s="25"/>
      <c r="H99" s="25"/>
      <c r="J99" s="25"/>
      <c r="L99" s="25"/>
      <c r="M99" s="25"/>
      <c r="N99" s="25"/>
    </row>
    <row r="100" spans="4:14" ht="14.25" customHeight="1">
      <c r="D100" s="25"/>
      <c r="F100" s="25"/>
      <c r="H100" s="25"/>
      <c r="J100" s="25"/>
      <c r="L100" s="25"/>
      <c r="M100" s="25"/>
      <c r="N100" s="25"/>
    </row>
    <row r="101" spans="4:14" ht="14.25" customHeight="1">
      <c r="D101" s="25"/>
      <c r="F101" s="25"/>
      <c r="H101" s="25"/>
      <c r="J101" s="25"/>
      <c r="L101" s="25"/>
      <c r="M101" s="25"/>
      <c r="N101" s="25"/>
    </row>
    <row r="102" spans="4:14" ht="14.25" customHeight="1">
      <c r="D102" s="25"/>
      <c r="F102" s="25"/>
      <c r="H102" s="25"/>
      <c r="J102" s="25"/>
      <c r="L102" s="25"/>
      <c r="M102" s="25"/>
      <c r="N102" s="25"/>
    </row>
    <row r="103" spans="4:14" ht="14.25" customHeight="1">
      <c r="D103" s="25"/>
      <c r="F103" s="25"/>
      <c r="H103" s="25"/>
      <c r="J103" s="25"/>
      <c r="L103" s="25"/>
      <c r="M103" s="25"/>
      <c r="N103" s="25"/>
    </row>
    <row r="104" spans="4:14" ht="14.25" customHeight="1">
      <c r="D104" s="25"/>
      <c r="F104" s="25"/>
      <c r="H104" s="25"/>
      <c r="J104" s="25"/>
      <c r="L104" s="25"/>
      <c r="M104" s="25"/>
      <c r="N104" s="25"/>
    </row>
    <row r="105" spans="4:14" ht="14.25" customHeight="1">
      <c r="D105" s="25"/>
      <c r="F105" s="25"/>
      <c r="H105" s="25"/>
      <c r="J105" s="25"/>
      <c r="L105" s="25"/>
      <c r="M105" s="25"/>
      <c r="N105" s="25"/>
    </row>
    <row r="106" spans="4:14" ht="14.25" customHeight="1">
      <c r="D106" s="25"/>
      <c r="F106" s="25"/>
      <c r="H106" s="25"/>
      <c r="J106" s="25"/>
      <c r="L106" s="25"/>
      <c r="M106" s="25"/>
      <c r="N106" s="25"/>
    </row>
    <row r="107" spans="4:14" ht="14.25" customHeight="1">
      <c r="D107" s="25"/>
      <c r="F107" s="25"/>
      <c r="H107" s="25"/>
      <c r="J107" s="25"/>
      <c r="L107" s="25"/>
      <c r="M107" s="25"/>
      <c r="N107" s="25"/>
    </row>
    <row r="108" spans="4:14" ht="14.25" customHeight="1">
      <c r="D108" s="25"/>
      <c r="F108" s="25"/>
      <c r="H108" s="25"/>
      <c r="J108" s="25"/>
      <c r="L108" s="25"/>
      <c r="M108" s="25"/>
      <c r="N108" s="25"/>
    </row>
    <row r="109" spans="4:14" ht="14.25" customHeight="1">
      <c r="D109" s="25"/>
      <c r="F109" s="25"/>
      <c r="H109" s="25"/>
      <c r="J109" s="25"/>
      <c r="L109" s="25"/>
      <c r="M109" s="25"/>
      <c r="N109" s="25"/>
    </row>
    <row r="110" spans="4:14" ht="14.25" customHeight="1">
      <c r="D110" s="25"/>
      <c r="F110" s="25"/>
      <c r="H110" s="25"/>
      <c r="J110" s="25"/>
      <c r="L110" s="25"/>
      <c r="M110" s="25"/>
      <c r="N110" s="25"/>
    </row>
    <row r="111" spans="4:14" ht="14.25" customHeight="1">
      <c r="D111" s="25"/>
      <c r="F111" s="25"/>
      <c r="H111" s="25"/>
      <c r="J111" s="25"/>
      <c r="L111" s="25"/>
      <c r="M111" s="25"/>
      <c r="N111" s="25"/>
    </row>
    <row r="112" spans="4:14" ht="14.25" customHeight="1">
      <c r="D112" s="25"/>
      <c r="F112" s="25"/>
      <c r="H112" s="25"/>
      <c r="J112" s="25"/>
      <c r="L112" s="25"/>
      <c r="M112" s="25"/>
      <c r="N112" s="25"/>
    </row>
    <row r="113" spans="4:14" ht="14.25" customHeight="1">
      <c r="D113" s="25"/>
      <c r="F113" s="25"/>
      <c r="H113" s="25"/>
      <c r="J113" s="25"/>
      <c r="L113" s="25"/>
      <c r="M113" s="25"/>
      <c r="N113" s="25"/>
    </row>
    <row r="114" spans="4:14" ht="14.25" customHeight="1">
      <c r="D114" s="25"/>
      <c r="F114" s="25"/>
      <c r="H114" s="25"/>
      <c r="J114" s="25"/>
      <c r="L114" s="25"/>
      <c r="M114" s="25"/>
      <c r="N114" s="25"/>
    </row>
    <row r="115" spans="4:14" ht="14.25" customHeight="1">
      <c r="D115" s="25"/>
      <c r="F115" s="25"/>
      <c r="H115" s="25"/>
      <c r="J115" s="25"/>
      <c r="L115" s="25"/>
      <c r="M115" s="25"/>
      <c r="N115" s="25"/>
    </row>
    <row r="116" spans="4:14" ht="14.25" customHeight="1">
      <c r="D116" s="25"/>
      <c r="F116" s="25"/>
      <c r="H116" s="25"/>
      <c r="J116" s="25"/>
      <c r="L116" s="25"/>
      <c r="M116" s="25"/>
      <c r="N116" s="25"/>
    </row>
    <row r="117" spans="4:14" ht="14.25" customHeight="1">
      <c r="D117" s="25"/>
      <c r="F117" s="25"/>
      <c r="H117" s="25"/>
      <c r="J117" s="25"/>
      <c r="L117" s="25"/>
      <c r="M117" s="25"/>
      <c r="N117" s="25"/>
    </row>
    <row r="118" spans="4:14" ht="14.25" customHeight="1">
      <c r="D118" s="25"/>
      <c r="F118" s="25"/>
      <c r="H118" s="25"/>
      <c r="J118" s="25"/>
      <c r="L118" s="25"/>
      <c r="M118" s="25"/>
      <c r="N118" s="25"/>
    </row>
    <row r="119" spans="4:14" ht="14.25" customHeight="1">
      <c r="D119" s="25"/>
      <c r="F119" s="25"/>
      <c r="H119" s="25"/>
      <c r="J119" s="25"/>
      <c r="L119" s="25"/>
      <c r="M119" s="25"/>
      <c r="N119" s="25"/>
    </row>
    <row r="120" spans="4:14" ht="14.25" customHeight="1">
      <c r="D120" s="25"/>
      <c r="F120" s="25"/>
      <c r="H120" s="25"/>
      <c r="J120" s="25"/>
      <c r="L120" s="25"/>
      <c r="M120" s="25"/>
      <c r="N120" s="25"/>
    </row>
    <row r="121" spans="4:14" ht="14.25" customHeight="1">
      <c r="D121" s="25"/>
      <c r="F121" s="25"/>
      <c r="H121" s="25"/>
      <c r="J121" s="25"/>
      <c r="L121" s="25"/>
      <c r="M121" s="25"/>
      <c r="N121" s="25"/>
    </row>
    <row r="122" spans="4:14" ht="14.25" customHeight="1">
      <c r="D122" s="25"/>
      <c r="F122" s="25"/>
      <c r="H122" s="25"/>
      <c r="J122" s="25"/>
      <c r="L122" s="25"/>
      <c r="M122" s="25"/>
      <c r="N122" s="25"/>
    </row>
    <row r="123" spans="4:14" ht="14.25" customHeight="1">
      <c r="D123" s="25"/>
      <c r="F123" s="25"/>
      <c r="H123" s="25"/>
      <c r="J123" s="25"/>
      <c r="L123" s="25"/>
      <c r="M123" s="25"/>
      <c r="N123" s="25"/>
    </row>
    <row r="124" spans="4:14" ht="14.25" customHeight="1">
      <c r="D124" s="25"/>
      <c r="F124" s="25"/>
      <c r="H124" s="25"/>
      <c r="J124" s="25"/>
      <c r="L124" s="25"/>
      <c r="M124" s="25"/>
      <c r="N124" s="25"/>
    </row>
    <row r="125" spans="4:14" ht="14.25" customHeight="1">
      <c r="D125" s="25"/>
      <c r="F125" s="25"/>
      <c r="H125" s="25"/>
      <c r="J125" s="25"/>
      <c r="L125" s="25"/>
      <c r="M125" s="25"/>
      <c r="N125" s="25"/>
    </row>
    <row r="126" spans="4:14" ht="14.25" customHeight="1">
      <c r="D126" s="25"/>
      <c r="F126" s="25"/>
      <c r="H126" s="25"/>
      <c r="J126" s="25"/>
      <c r="L126" s="25"/>
      <c r="M126" s="25"/>
      <c r="N126" s="25"/>
    </row>
    <row r="127" spans="4:14" ht="14.25" customHeight="1">
      <c r="D127" s="25"/>
      <c r="F127" s="25"/>
      <c r="H127" s="25"/>
      <c r="J127" s="25"/>
      <c r="L127" s="25"/>
      <c r="M127" s="25"/>
      <c r="N127" s="25"/>
    </row>
    <row r="128" spans="4:14" ht="14.25" customHeight="1">
      <c r="D128" s="25"/>
      <c r="F128" s="25"/>
      <c r="H128" s="25"/>
      <c r="J128" s="25"/>
      <c r="L128" s="25"/>
      <c r="M128" s="25"/>
      <c r="N128" s="25"/>
    </row>
    <row r="129" spans="4:14" ht="14.25" customHeight="1">
      <c r="D129" s="25"/>
      <c r="F129" s="25"/>
      <c r="H129" s="25"/>
      <c r="J129" s="25"/>
      <c r="L129" s="25"/>
      <c r="M129" s="25"/>
      <c r="N129" s="25"/>
    </row>
    <row r="130" spans="4:14" ht="14.25" customHeight="1">
      <c r="D130" s="25"/>
      <c r="F130" s="25"/>
      <c r="H130" s="25"/>
      <c r="J130" s="25"/>
      <c r="L130" s="25"/>
      <c r="M130" s="25"/>
      <c r="N130" s="25"/>
    </row>
    <row r="131" spans="4:14" ht="14.25" customHeight="1">
      <c r="D131" s="25"/>
      <c r="F131" s="25"/>
      <c r="H131" s="25"/>
      <c r="J131" s="25"/>
      <c r="L131" s="25"/>
      <c r="M131" s="25"/>
      <c r="N131" s="25"/>
    </row>
    <row r="132" spans="4:14" ht="14.25" customHeight="1">
      <c r="D132" s="25"/>
      <c r="F132" s="25"/>
      <c r="H132" s="25"/>
      <c r="J132" s="25"/>
      <c r="L132" s="25"/>
      <c r="M132" s="25"/>
      <c r="N132" s="25"/>
    </row>
    <row r="133" spans="4:14" ht="14.25" customHeight="1">
      <c r="D133" s="25"/>
      <c r="F133" s="25"/>
      <c r="H133" s="25"/>
      <c r="J133" s="25"/>
      <c r="L133" s="25"/>
      <c r="M133" s="25"/>
      <c r="N133" s="25"/>
    </row>
    <row r="134" spans="4:14" ht="14.25" customHeight="1">
      <c r="D134" s="25"/>
      <c r="F134" s="25"/>
      <c r="H134" s="25"/>
      <c r="J134" s="25"/>
      <c r="L134" s="25"/>
      <c r="M134" s="25"/>
      <c r="N134" s="25"/>
    </row>
    <row r="135" spans="4:14" ht="14.25" customHeight="1">
      <c r="D135" s="25"/>
      <c r="F135" s="25"/>
      <c r="H135" s="25"/>
      <c r="J135" s="25"/>
      <c r="L135" s="25"/>
      <c r="M135" s="25"/>
      <c r="N135" s="25"/>
    </row>
    <row r="136" spans="4:14" ht="14.25" customHeight="1">
      <c r="D136" s="25"/>
      <c r="F136" s="25"/>
      <c r="H136" s="25"/>
      <c r="J136" s="25"/>
      <c r="L136" s="25"/>
      <c r="M136" s="25"/>
      <c r="N136" s="25"/>
    </row>
    <row r="137" spans="4:14" ht="14.25" customHeight="1">
      <c r="D137" s="25"/>
      <c r="F137" s="25"/>
      <c r="H137" s="25"/>
      <c r="J137" s="25"/>
      <c r="L137" s="25"/>
      <c r="M137" s="25"/>
      <c r="N137" s="25"/>
    </row>
    <row r="138" spans="4:14" ht="14.25" customHeight="1">
      <c r="D138" s="25"/>
      <c r="F138" s="25"/>
      <c r="H138" s="25"/>
      <c r="J138" s="25"/>
      <c r="L138" s="25"/>
      <c r="M138" s="25"/>
      <c r="N138" s="25"/>
    </row>
    <row r="139" spans="4:14" ht="14.25" customHeight="1">
      <c r="D139" s="25"/>
      <c r="F139" s="25"/>
      <c r="H139" s="25"/>
      <c r="J139" s="25"/>
      <c r="L139" s="25"/>
      <c r="M139" s="25"/>
      <c r="N139" s="25"/>
    </row>
    <row r="140" spans="4:14" ht="14.25" customHeight="1">
      <c r="D140" s="25"/>
      <c r="F140" s="25"/>
      <c r="H140" s="25"/>
      <c r="J140" s="25"/>
      <c r="L140" s="25"/>
      <c r="M140" s="25"/>
      <c r="N140" s="25"/>
    </row>
    <row r="141" spans="4:14" ht="14.25" customHeight="1">
      <c r="D141" s="25"/>
      <c r="F141" s="25"/>
      <c r="H141" s="25"/>
      <c r="J141" s="25"/>
      <c r="L141" s="25"/>
      <c r="M141" s="25"/>
      <c r="N141" s="25"/>
    </row>
    <row r="142" spans="4:14" ht="14.25" customHeight="1">
      <c r="D142" s="25"/>
      <c r="F142" s="25"/>
      <c r="H142" s="25"/>
      <c r="J142" s="25"/>
      <c r="L142" s="25"/>
      <c r="M142" s="25"/>
      <c r="N142" s="25"/>
    </row>
    <row r="143" spans="4:14" ht="14.25" customHeight="1">
      <c r="D143" s="25"/>
      <c r="F143" s="25"/>
      <c r="H143" s="25"/>
      <c r="J143" s="25"/>
      <c r="L143" s="25"/>
      <c r="M143" s="25"/>
      <c r="N143" s="25"/>
    </row>
    <row r="144" spans="4:14" ht="14.25" customHeight="1">
      <c r="D144" s="25"/>
      <c r="F144" s="25"/>
      <c r="H144" s="25"/>
      <c r="J144" s="25"/>
      <c r="L144" s="25"/>
      <c r="M144" s="25"/>
      <c r="N144" s="25"/>
    </row>
    <row r="145" spans="4:14" ht="14.25" customHeight="1">
      <c r="D145" s="25"/>
      <c r="F145" s="25"/>
      <c r="H145" s="25"/>
      <c r="J145" s="25"/>
      <c r="L145" s="25"/>
      <c r="M145" s="25"/>
      <c r="N145" s="25"/>
    </row>
    <row r="146" spans="4:14" ht="14.25" customHeight="1">
      <c r="D146" s="25"/>
      <c r="F146" s="25"/>
      <c r="H146" s="25"/>
      <c r="J146" s="25"/>
      <c r="L146" s="25"/>
      <c r="M146" s="25"/>
      <c r="N146" s="25"/>
    </row>
    <row r="147" spans="4:14" ht="14.25" customHeight="1">
      <c r="D147" s="25"/>
      <c r="F147" s="25"/>
      <c r="H147" s="25"/>
      <c r="J147" s="25"/>
      <c r="L147" s="25"/>
      <c r="M147" s="25"/>
      <c r="N147" s="25"/>
    </row>
    <row r="148" spans="4:14" ht="14.25" customHeight="1">
      <c r="D148" s="25"/>
      <c r="F148" s="25"/>
      <c r="H148" s="25"/>
      <c r="J148" s="25"/>
      <c r="L148" s="25"/>
      <c r="M148" s="25"/>
      <c r="N148" s="25"/>
    </row>
    <row r="149" spans="4:14" ht="14.25" customHeight="1">
      <c r="D149" s="25"/>
      <c r="F149" s="25"/>
      <c r="H149" s="25"/>
      <c r="J149" s="25"/>
      <c r="L149" s="25"/>
      <c r="M149" s="25"/>
      <c r="N149" s="25"/>
    </row>
    <row r="150" spans="4:14" ht="14.25" customHeight="1">
      <c r="D150" s="25"/>
      <c r="F150" s="25"/>
      <c r="H150" s="25"/>
      <c r="J150" s="25"/>
      <c r="L150" s="25"/>
      <c r="M150" s="25"/>
      <c r="N150" s="25"/>
    </row>
    <row r="151" spans="4:14" ht="14.25" customHeight="1">
      <c r="D151" s="25"/>
      <c r="F151" s="25"/>
      <c r="H151" s="25"/>
      <c r="J151" s="25"/>
      <c r="L151" s="25"/>
      <c r="M151" s="25"/>
      <c r="N151" s="25"/>
    </row>
    <row r="152" spans="4:14" ht="14.25" customHeight="1">
      <c r="D152" s="25"/>
      <c r="F152" s="25"/>
      <c r="H152" s="25"/>
      <c r="J152" s="25"/>
      <c r="L152" s="25"/>
      <c r="M152" s="25"/>
      <c r="N152" s="25"/>
    </row>
    <row r="153" spans="4:14" ht="14.25" customHeight="1">
      <c r="D153" s="25"/>
      <c r="F153" s="25"/>
      <c r="H153" s="25"/>
      <c r="J153" s="25"/>
      <c r="L153" s="25"/>
      <c r="M153" s="25"/>
      <c r="N153" s="25"/>
    </row>
    <row r="154" spans="4:14" ht="14.25" customHeight="1">
      <c r="D154" s="25"/>
      <c r="F154" s="25"/>
      <c r="H154" s="25"/>
      <c r="J154" s="25"/>
      <c r="L154" s="25"/>
      <c r="M154" s="25"/>
      <c r="N154" s="25"/>
    </row>
    <row r="155" spans="4:14" ht="14.25" customHeight="1">
      <c r="D155" s="25"/>
      <c r="F155" s="25"/>
      <c r="H155" s="25"/>
      <c r="J155" s="25"/>
      <c r="L155" s="25"/>
      <c r="M155" s="25"/>
      <c r="N155" s="25"/>
    </row>
    <row r="156" spans="4:14" ht="14.25" customHeight="1">
      <c r="D156" s="25"/>
      <c r="F156" s="25"/>
      <c r="H156" s="25"/>
      <c r="J156" s="25"/>
      <c r="L156" s="25"/>
      <c r="M156" s="25"/>
      <c r="N156" s="25"/>
    </row>
    <row r="157" spans="4:14" ht="14.25" customHeight="1">
      <c r="D157" s="25"/>
      <c r="F157" s="25"/>
      <c r="H157" s="25"/>
      <c r="J157" s="25"/>
      <c r="L157" s="25"/>
      <c r="M157" s="25"/>
      <c r="N157" s="25"/>
    </row>
    <row r="158" spans="4:14" ht="14.25" customHeight="1">
      <c r="D158" s="25"/>
      <c r="F158" s="25"/>
      <c r="H158" s="25"/>
      <c r="J158" s="25"/>
      <c r="L158" s="25"/>
      <c r="M158" s="25"/>
      <c r="N158" s="25"/>
    </row>
    <row r="159" spans="4:14" ht="14.25" customHeight="1">
      <c r="D159" s="25"/>
      <c r="F159" s="25"/>
      <c r="H159" s="25"/>
      <c r="J159" s="25"/>
      <c r="L159" s="25"/>
      <c r="M159" s="25"/>
      <c r="N159" s="25"/>
    </row>
    <row r="160" spans="4:14" ht="14.25" customHeight="1">
      <c r="D160" s="25"/>
      <c r="F160" s="25"/>
      <c r="H160" s="25"/>
      <c r="J160" s="25"/>
      <c r="L160" s="25"/>
      <c r="M160" s="25"/>
      <c r="N160" s="25"/>
    </row>
    <row r="161" spans="4:14" ht="14.25" customHeight="1">
      <c r="D161" s="25"/>
      <c r="F161" s="25"/>
      <c r="H161" s="25"/>
      <c r="J161" s="25"/>
      <c r="L161" s="25"/>
      <c r="M161" s="25"/>
      <c r="N161" s="25"/>
    </row>
    <row r="162" spans="4:14" ht="14.25" customHeight="1">
      <c r="D162" s="25"/>
      <c r="F162" s="25"/>
      <c r="H162" s="25"/>
      <c r="J162" s="25"/>
      <c r="L162" s="25"/>
      <c r="M162" s="25"/>
      <c r="N162" s="25"/>
    </row>
    <row r="163" spans="4:14" ht="14.25" customHeight="1">
      <c r="D163" s="25"/>
      <c r="F163" s="25"/>
      <c r="H163" s="25"/>
      <c r="J163" s="25"/>
      <c r="L163" s="25"/>
      <c r="M163" s="25"/>
      <c r="N163" s="25"/>
    </row>
    <row r="164" spans="4:14" ht="14.25" customHeight="1">
      <c r="D164" s="25"/>
      <c r="F164" s="25"/>
      <c r="H164" s="25"/>
      <c r="J164" s="25"/>
      <c r="L164" s="25"/>
      <c r="M164" s="25"/>
      <c r="N164" s="25"/>
    </row>
    <row r="165" spans="4:14" ht="14.25" customHeight="1">
      <c r="D165" s="25"/>
      <c r="F165" s="25"/>
      <c r="H165" s="25"/>
      <c r="J165" s="25"/>
      <c r="L165" s="25"/>
      <c r="M165" s="25"/>
      <c r="N165" s="25"/>
    </row>
    <row r="166" spans="4:14" ht="14.25" customHeight="1">
      <c r="D166" s="25"/>
      <c r="F166" s="25"/>
      <c r="H166" s="25"/>
      <c r="J166" s="25"/>
      <c r="L166" s="25"/>
      <c r="M166" s="25"/>
      <c r="N166" s="25"/>
    </row>
    <row r="167" spans="4:14" ht="14.25" customHeight="1">
      <c r="D167" s="25"/>
      <c r="F167" s="25"/>
      <c r="H167" s="25"/>
      <c r="J167" s="25"/>
      <c r="L167" s="25"/>
      <c r="M167" s="25"/>
      <c r="N167" s="25"/>
    </row>
    <row r="168" spans="4:14" ht="14.25" customHeight="1">
      <c r="D168" s="25"/>
      <c r="F168" s="25"/>
      <c r="H168" s="25"/>
      <c r="J168" s="25"/>
      <c r="L168" s="25"/>
      <c r="M168" s="25"/>
      <c r="N168" s="25"/>
    </row>
    <row r="169" spans="4:14" ht="14.25" customHeight="1">
      <c r="D169" s="25"/>
      <c r="F169" s="25"/>
      <c r="H169" s="25"/>
      <c r="J169" s="25"/>
      <c r="L169" s="25"/>
      <c r="M169" s="25"/>
      <c r="N169" s="25"/>
    </row>
    <row r="170" spans="4:14" ht="14.25" customHeight="1">
      <c r="D170" s="25"/>
      <c r="F170" s="25"/>
      <c r="H170" s="25"/>
      <c r="J170" s="25"/>
      <c r="L170" s="25"/>
      <c r="M170" s="25"/>
      <c r="N170" s="25"/>
    </row>
    <row r="171" spans="4:14" ht="14.25" customHeight="1">
      <c r="D171" s="25"/>
      <c r="F171" s="25"/>
      <c r="H171" s="25"/>
      <c r="J171" s="25"/>
      <c r="L171" s="25"/>
      <c r="M171" s="25"/>
      <c r="N171" s="25"/>
    </row>
    <row r="172" spans="4:14" ht="14.25" customHeight="1">
      <c r="D172" s="25"/>
      <c r="F172" s="25"/>
      <c r="H172" s="25"/>
      <c r="J172" s="25"/>
      <c r="L172" s="25"/>
      <c r="M172" s="25"/>
      <c r="N172" s="25"/>
    </row>
    <row r="173" spans="4:14" ht="14.25" customHeight="1">
      <c r="D173" s="25"/>
      <c r="F173" s="25"/>
      <c r="H173" s="25"/>
      <c r="J173" s="25"/>
      <c r="L173" s="25"/>
      <c r="M173" s="25"/>
      <c r="N173" s="25"/>
    </row>
    <row r="174" spans="4:14" ht="14.25" customHeight="1">
      <c r="D174" s="25"/>
      <c r="F174" s="25"/>
      <c r="H174" s="25"/>
      <c r="J174" s="25"/>
      <c r="L174" s="25"/>
      <c r="M174" s="25"/>
      <c r="N174" s="25"/>
    </row>
    <row r="175" spans="4:14" ht="14.25" customHeight="1">
      <c r="D175" s="25"/>
      <c r="F175" s="25"/>
      <c r="H175" s="25"/>
      <c r="J175" s="25"/>
      <c r="L175" s="25"/>
      <c r="M175" s="25"/>
      <c r="N175" s="25"/>
    </row>
    <row r="176" spans="4:14" ht="14.25" customHeight="1">
      <c r="D176" s="25"/>
      <c r="F176" s="25"/>
      <c r="H176" s="25"/>
      <c r="J176" s="25"/>
      <c r="L176" s="25"/>
      <c r="M176" s="25"/>
      <c r="N176" s="25"/>
    </row>
    <row r="177" spans="4:14" ht="14.25" customHeight="1">
      <c r="D177" s="25"/>
      <c r="F177" s="25"/>
      <c r="H177" s="25"/>
      <c r="J177" s="25"/>
      <c r="L177" s="25"/>
      <c r="M177" s="25"/>
      <c r="N177" s="25"/>
    </row>
    <row r="178" spans="4:14" ht="14.25" customHeight="1">
      <c r="D178" s="25"/>
      <c r="F178" s="25"/>
      <c r="H178" s="25"/>
      <c r="J178" s="25"/>
      <c r="L178" s="25"/>
      <c r="M178" s="25"/>
      <c r="N178" s="25"/>
    </row>
    <row r="179" spans="4:14" ht="14.25" customHeight="1">
      <c r="D179" s="25"/>
      <c r="F179" s="25"/>
      <c r="H179" s="25"/>
      <c r="J179" s="25"/>
      <c r="L179" s="25"/>
      <c r="M179" s="25"/>
      <c r="N179" s="25"/>
    </row>
    <row r="180" spans="4:14" ht="14.25" customHeight="1">
      <c r="D180" s="25"/>
      <c r="F180" s="25"/>
      <c r="H180" s="25"/>
      <c r="J180" s="25"/>
      <c r="L180" s="25"/>
      <c r="M180" s="25"/>
      <c r="N180" s="25"/>
    </row>
    <row r="181" spans="4:14" ht="14.25" customHeight="1">
      <c r="D181" s="25"/>
      <c r="F181" s="25"/>
      <c r="H181" s="25"/>
      <c r="J181" s="25"/>
      <c r="L181" s="25"/>
      <c r="M181" s="25"/>
      <c r="N181" s="25"/>
    </row>
    <row r="182" spans="4:14" ht="14.25" customHeight="1">
      <c r="D182" s="25"/>
      <c r="F182" s="25"/>
      <c r="H182" s="25"/>
      <c r="J182" s="25"/>
      <c r="L182" s="25"/>
      <c r="M182" s="25"/>
      <c r="N182" s="25"/>
    </row>
    <row r="183" spans="4:14" ht="14.25" customHeight="1">
      <c r="D183" s="25"/>
      <c r="F183" s="25"/>
      <c r="H183" s="25"/>
      <c r="J183" s="25"/>
      <c r="L183" s="25"/>
      <c r="M183" s="25"/>
      <c r="N183" s="25"/>
    </row>
    <row r="184" spans="4:14" ht="14.25" customHeight="1">
      <c r="D184" s="25"/>
      <c r="F184" s="25"/>
      <c r="H184" s="25"/>
      <c r="J184" s="25"/>
      <c r="L184" s="25"/>
      <c r="M184" s="25"/>
      <c r="N184" s="25"/>
    </row>
    <row r="185" spans="4:14" ht="14.25" customHeight="1">
      <c r="D185" s="25"/>
      <c r="F185" s="25"/>
      <c r="H185" s="25"/>
      <c r="J185" s="25"/>
      <c r="L185" s="25"/>
      <c r="M185" s="25"/>
      <c r="N185" s="25"/>
    </row>
    <row r="186" spans="4:14" ht="14.25" customHeight="1">
      <c r="D186" s="25"/>
      <c r="F186" s="25"/>
      <c r="H186" s="25"/>
      <c r="J186" s="25"/>
      <c r="L186" s="25"/>
      <c r="M186" s="25"/>
      <c r="N186" s="25"/>
    </row>
    <row r="187" spans="4:14" ht="14.25" customHeight="1">
      <c r="D187" s="25"/>
      <c r="F187" s="25"/>
      <c r="H187" s="25"/>
      <c r="J187" s="25"/>
      <c r="L187" s="25"/>
      <c r="M187" s="25"/>
      <c r="N187" s="25"/>
    </row>
    <row r="188" spans="4:14" ht="14.25" customHeight="1">
      <c r="D188" s="25"/>
      <c r="F188" s="25"/>
      <c r="H188" s="25"/>
      <c r="J188" s="25"/>
      <c r="L188" s="25"/>
      <c r="M188" s="25"/>
      <c r="N188" s="25"/>
    </row>
    <row r="189" spans="4:14" ht="14.25" customHeight="1">
      <c r="D189" s="25"/>
      <c r="F189" s="25"/>
      <c r="H189" s="25"/>
      <c r="J189" s="25"/>
      <c r="L189" s="25"/>
      <c r="M189" s="25"/>
      <c r="N189" s="25"/>
    </row>
    <row r="190" spans="4:14" ht="14.25" customHeight="1">
      <c r="D190" s="25"/>
      <c r="F190" s="25"/>
      <c r="H190" s="25"/>
      <c r="J190" s="25"/>
      <c r="L190" s="25"/>
      <c r="M190" s="25"/>
      <c r="N190" s="25"/>
    </row>
    <row r="191" spans="4:14" ht="14.25" customHeight="1">
      <c r="D191" s="25"/>
      <c r="F191" s="25"/>
      <c r="H191" s="25"/>
      <c r="J191" s="25"/>
      <c r="L191" s="25"/>
      <c r="M191" s="25"/>
      <c r="N191" s="25"/>
    </row>
    <row r="192" spans="4:14" ht="14.25" customHeight="1">
      <c r="D192" s="25"/>
      <c r="F192" s="25"/>
      <c r="H192" s="25"/>
      <c r="J192" s="25"/>
      <c r="L192" s="25"/>
      <c r="M192" s="25"/>
      <c r="N192" s="25"/>
    </row>
    <row r="193" spans="4:14" ht="14.25" customHeight="1">
      <c r="D193" s="25"/>
      <c r="F193" s="25"/>
      <c r="H193" s="25"/>
      <c r="J193" s="25"/>
      <c r="L193" s="25"/>
      <c r="M193" s="25"/>
      <c r="N193" s="25"/>
    </row>
    <row r="194" spans="4:14" ht="14.25" customHeight="1">
      <c r="D194" s="25"/>
      <c r="F194" s="25"/>
      <c r="H194" s="25"/>
      <c r="J194" s="25"/>
      <c r="L194" s="25"/>
      <c r="M194" s="25"/>
      <c r="N194" s="25"/>
    </row>
    <row r="195" spans="4:14" ht="14.25" customHeight="1">
      <c r="D195" s="25"/>
      <c r="F195" s="25"/>
      <c r="H195" s="25"/>
      <c r="J195" s="25"/>
      <c r="L195" s="25"/>
      <c r="M195" s="25"/>
      <c r="N195" s="25"/>
    </row>
    <row r="196" spans="4:14" ht="14.25" customHeight="1">
      <c r="D196" s="25"/>
      <c r="F196" s="25"/>
      <c r="H196" s="25"/>
      <c r="J196" s="25"/>
      <c r="L196" s="25"/>
      <c r="M196" s="25"/>
      <c r="N196" s="25"/>
    </row>
    <row r="197" spans="4:14" ht="14.25" customHeight="1">
      <c r="D197" s="25"/>
      <c r="F197" s="25"/>
      <c r="H197" s="25"/>
      <c r="J197" s="25"/>
      <c r="L197" s="25"/>
      <c r="M197" s="25"/>
      <c r="N197" s="25"/>
    </row>
    <row r="198" spans="4:14" ht="14.25" customHeight="1">
      <c r="D198" s="25"/>
      <c r="F198" s="25"/>
      <c r="H198" s="25"/>
      <c r="J198" s="25"/>
      <c r="L198" s="25"/>
      <c r="M198" s="25"/>
      <c r="N198" s="25"/>
    </row>
    <row r="199" spans="4:14" ht="14.25" customHeight="1">
      <c r="D199" s="25"/>
      <c r="F199" s="25"/>
      <c r="H199" s="25"/>
      <c r="J199" s="25"/>
      <c r="L199" s="25"/>
      <c r="M199" s="25"/>
      <c r="N199" s="25"/>
    </row>
    <row r="200" spans="4:14" ht="14.25" customHeight="1">
      <c r="D200" s="25"/>
      <c r="F200" s="25"/>
      <c r="H200" s="25"/>
      <c r="J200" s="25"/>
      <c r="L200" s="25"/>
      <c r="M200" s="25"/>
      <c r="N200" s="25"/>
    </row>
    <row r="201" spans="4:14" ht="14.25" customHeight="1">
      <c r="D201" s="25"/>
      <c r="F201" s="25"/>
      <c r="H201" s="25"/>
      <c r="J201" s="25"/>
      <c r="L201" s="25"/>
      <c r="M201" s="25"/>
      <c r="N201" s="25"/>
    </row>
    <row r="202" spans="4:14" ht="14.25" customHeight="1">
      <c r="D202" s="25"/>
      <c r="F202" s="25"/>
      <c r="H202" s="25"/>
      <c r="J202" s="25"/>
      <c r="L202" s="25"/>
      <c r="M202" s="25"/>
      <c r="N202" s="25"/>
    </row>
    <row r="203" spans="4:14" ht="14.25" customHeight="1">
      <c r="D203" s="25"/>
      <c r="F203" s="25"/>
      <c r="H203" s="25"/>
      <c r="J203" s="25"/>
      <c r="L203" s="25"/>
      <c r="M203" s="25"/>
      <c r="N203" s="25"/>
    </row>
    <row r="204" spans="4:14" ht="14.25" customHeight="1">
      <c r="D204" s="25"/>
      <c r="F204" s="25"/>
      <c r="H204" s="25"/>
      <c r="J204" s="25"/>
      <c r="L204" s="25"/>
      <c r="M204" s="25"/>
      <c r="N204" s="25"/>
    </row>
    <row r="205" spans="4:14" ht="14.25" customHeight="1">
      <c r="D205" s="25"/>
      <c r="F205" s="25"/>
      <c r="H205" s="25"/>
      <c r="J205" s="25"/>
      <c r="L205" s="25"/>
      <c r="M205" s="25"/>
      <c r="N205" s="25"/>
    </row>
    <row r="206" spans="4:14" ht="14.25" customHeight="1">
      <c r="D206" s="25"/>
      <c r="F206" s="25"/>
      <c r="H206" s="25"/>
      <c r="J206" s="25"/>
      <c r="L206" s="25"/>
      <c r="M206" s="25"/>
      <c r="N206" s="25"/>
    </row>
    <row r="207" spans="4:14" ht="14.25" customHeight="1">
      <c r="D207" s="25"/>
      <c r="F207" s="25"/>
      <c r="H207" s="25"/>
      <c r="J207" s="25"/>
      <c r="L207" s="25"/>
      <c r="M207" s="25"/>
      <c r="N207" s="25"/>
    </row>
    <row r="208" spans="4:14" ht="14.25" customHeight="1">
      <c r="D208" s="25"/>
      <c r="F208" s="25"/>
      <c r="H208" s="25"/>
      <c r="J208" s="25"/>
      <c r="L208" s="25"/>
      <c r="M208" s="25"/>
      <c r="N208" s="25"/>
    </row>
    <row r="209" spans="4:14" ht="14.25" customHeight="1">
      <c r="D209" s="25"/>
      <c r="F209" s="25"/>
      <c r="H209" s="25"/>
      <c r="J209" s="25"/>
      <c r="L209" s="25"/>
      <c r="M209" s="25"/>
      <c r="N209" s="25"/>
    </row>
    <row r="210" spans="4:14" ht="14.25" customHeight="1">
      <c r="D210" s="25"/>
      <c r="F210" s="25"/>
      <c r="H210" s="25"/>
      <c r="J210" s="25"/>
      <c r="L210" s="25"/>
      <c r="M210" s="25"/>
      <c r="N210" s="25"/>
    </row>
    <row r="211" spans="4:14" ht="14.25" customHeight="1">
      <c r="D211" s="25"/>
      <c r="F211" s="25"/>
      <c r="H211" s="25"/>
      <c r="J211" s="25"/>
      <c r="L211" s="25"/>
      <c r="M211" s="25"/>
      <c r="N211" s="25"/>
    </row>
    <row r="212" spans="4:14" ht="14.25" customHeight="1">
      <c r="D212" s="25"/>
      <c r="F212" s="25"/>
      <c r="H212" s="25"/>
      <c r="J212" s="25"/>
      <c r="L212" s="25"/>
      <c r="M212" s="25"/>
      <c r="N212" s="25"/>
    </row>
    <row r="213" spans="4:14" ht="14.25" customHeight="1">
      <c r="D213" s="25"/>
      <c r="F213" s="25"/>
      <c r="H213" s="25"/>
      <c r="J213" s="25"/>
      <c r="L213" s="25"/>
      <c r="M213" s="25"/>
      <c r="N213" s="25"/>
    </row>
    <row r="214" spans="4:14" ht="14.25" customHeight="1">
      <c r="D214" s="25"/>
      <c r="F214" s="25"/>
      <c r="H214" s="25"/>
      <c r="J214" s="25"/>
      <c r="L214" s="25"/>
      <c r="M214" s="25"/>
      <c r="N214" s="25"/>
    </row>
    <row r="215" spans="4:14" ht="14.25" customHeight="1">
      <c r="D215" s="25"/>
      <c r="F215" s="25"/>
      <c r="H215" s="25"/>
      <c r="J215" s="25"/>
      <c r="L215" s="25"/>
      <c r="M215" s="25"/>
      <c r="N215" s="25"/>
    </row>
    <row r="216" spans="4:14" ht="14.25" customHeight="1">
      <c r="D216" s="25"/>
      <c r="F216" s="25"/>
      <c r="H216" s="25"/>
      <c r="J216" s="25"/>
      <c r="L216" s="25"/>
      <c r="M216" s="25"/>
      <c r="N216" s="25"/>
    </row>
    <row r="217" spans="4:14" ht="14.25" customHeight="1">
      <c r="D217" s="25"/>
      <c r="F217" s="25"/>
      <c r="H217" s="25"/>
      <c r="J217" s="25"/>
      <c r="L217" s="25"/>
      <c r="M217" s="25"/>
      <c r="N217" s="25"/>
    </row>
    <row r="218" spans="4:14" ht="14.25" customHeight="1">
      <c r="D218" s="25"/>
      <c r="F218" s="25"/>
      <c r="H218" s="25"/>
      <c r="J218" s="25"/>
      <c r="L218" s="25"/>
      <c r="M218" s="25"/>
      <c r="N218" s="25"/>
    </row>
    <row r="219" spans="4:14" ht="14.25" customHeight="1">
      <c r="D219" s="25"/>
      <c r="F219" s="25"/>
      <c r="H219" s="25"/>
      <c r="J219" s="25"/>
      <c r="L219" s="25"/>
      <c r="M219" s="25"/>
      <c r="N219" s="25"/>
    </row>
    <row r="220" spans="4:14" ht="14.25" customHeight="1">
      <c r="D220" s="25"/>
      <c r="F220" s="25"/>
      <c r="H220" s="25"/>
      <c r="J220" s="25"/>
      <c r="L220" s="25"/>
      <c r="M220" s="25"/>
      <c r="N220" s="25"/>
    </row>
    <row r="221" spans="4:14" ht="14.25" customHeight="1">
      <c r="D221" s="25"/>
      <c r="F221" s="25"/>
      <c r="H221" s="25"/>
      <c r="J221" s="25"/>
      <c r="L221" s="25"/>
      <c r="M221" s="25"/>
      <c r="N221" s="25"/>
    </row>
    <row r="222" spans="4:14" ht="14.25" customHeight="1">
      <c r="D222" s="25"/>
      <c r="F222" s="25"/>
      <c r="H222" s="25"/>
      <c r="J222" s="25"/>
      <c r="L222" s="25"/>
      <c r="M222" s="25"/>
      <c r="N222" s="25"/>
    </row>
    <row r="223" spans="4:14" ht="14.25" customHeight="1">
      <c r="D223" s="25"/>
      <c r="F223" s="25"/>
      <c r="H223" s="25"/>
      <c r="J223" s="25"/>
      <c r="L223" s="25"/>
      <c r="M223" s="25"/>
      <c r="N223" s="25"/>
    </row>
    <row r="224" spans="4:14" ht="14.25" customHeight="1">
      <c r="D224" s="25"/>
      <c r="F224" s="25"/>
      <c r="H224" s="25"/>
      <c r="J224" s="25"/>
      <c r="L224" s="25"/>
      <c r="M224" s="25"/>
      <c r="N224" s="25"/>
    </row>
    <row r="225" spans="4:14" ht="14.25" customHeight="1">
      <c r="D225" s="25"/>
      <c r="F225" s="25"/>
      <c r="H225" s="25"/>
      <c r="J225" s="25"/>
      <c r="L225" s="25"/>
      <c r="M225" s="25"/>
      <c r="N225" s="25"/>
    </row>
    <row r="226" spans="4:14" ht="14.25" customHeight="1">
      <c r="D226" s="25"/>
      <c r="F226" s="25"/>
      <c r="H226" s="25"/>
      <c r="J226" s="25"/>
      <c r="L226" s="25"/>
      <c r="M226" s="25"/>
      <c r="N226" s="25"/>
    </row>
    <row r="227" spans="4:14" ht="14.25" customHeight="1">
      <c r="D227" s="25"/>
      <c r="F227" s="25"/>
      <c r="H227" s="25"/>
      <c r="J227" s="25"/>
      <c r="L227" s="25"/>
      <c r="M227" s="25"/>
      <c r="N227" s="25"/>
    </row>
    <row r="228" spans="4:14" ht="14.25" customHeight="1">
      <c r="D228" s="25"/>
      <c r="F228" s="25"/>
      <c r="H228" s="25"/>
      <c r="J228" s="25"/>
      <c r="L228" s="25"/>
      <c r="M228" s="25"/>
      <c r="N228" s="25"/>
    </row>
    <row r="229" spans="4:14" ht="14.25" customHeight="1">
      <c r="D229" s="25"/>
      <c r="F229" s="25"/>
      <c r="H229" s="25"/>
      <c r="J229" s="25"/>
      <c r="L229" s="25"/>
      <c r="M229" s="25"/>
      <c r="N229" s="25"/>
    </row>
    <row r="230" spans="4:14" ht="14.25" customHeight="1">
      <c r="D230" s="25"/>
      <c r="F230" s="25"/>
      <c r="H230" s="25"/>
      <c r="J230" s="25"/>
      <c r="L230" s="25"/>
      <c r="M230" s="25"/>
      <c r="N230" s="25"/>
    </row>
    <row r="231" spans="4:14" ht="14.25" customHeight="1">
      <c r="D231" s="25"/>
      <c r="F231" s="25"/>
      <c r="H231" s="25"/>
      <c r="J231" s="25"/>
      <c r="L231" s="25"/>
      <c r="M231" s="25"/>
      <c r="N231" s="25"/>
    </row>
    <row r="232" spans="4:14" ht="14.25" customHeight="1">
      <c r="D232" s="25"/>
      <c r="F232" s="25"/>
      <c r="H232" s="25"/>
      <c r="J232" s="25"/>
      <c r="L232" s="25"/>
      <c r="M232" s="25"/>
      <c r="N232" s="25"/>
    </row>
    <row r="233" spans="4:14" ht="14.25" customHeight="1">
      <c r="D233" s="25"/>
      <c r="F233" s="25"/>
      <c r="H233" s="25"/>
      <c r="J233" s="25"/>
      <c r="L233" s="25"/>
      <c r="M233" s="25"/>
      <c r="N233" s="25"/>
    </row>
    <row r="234" spans="4:14" ht="14.25" customHeight="1">
      <c r="D234" s="25"/>
      <c r="F234" s="25"/>
      <c r="H234" s="25"/>
      <c r="J234" s="25"/>
      <c r="L234" s="25"/>
      <c r="M234" s="25"/>
      <c r="N234" s="25"/>
    </row>
    <row r="235" spans="4:14" ht="14.25" customHeight="1">
      <c r="D235" s="25"/>
      <c r="F235" s="25"/>
      <c r="H235" s="25"/>
      <c r="J235" s="25"/>
      <c r="L235" s="25"/>
      <c r="M235" s="25"/>
      <c r="N235" s="25"/>
    </row>
    <row r="236" spans="4:14" ht="14.25" customHeight="1">
      <c r="D236" s="25"/>
      <c r="F236" s="25"/>
      <c r="H236" s="25"/>
      <c r="J236" s="25"/>
      <c r="L236" s="25"/>
      <c r="M236" s="25"/>
      <c r="N236" s="25"/>
    </row>
    <row r="237" spans="4:14" ht="14.25" customHeight="1">
      <c r="D237" s="25"/>
      <c r="F237" s="25"/>
      <c r="H237" s="25"/>
      <c r="J237" s="25"/>
      <c r="L237" s="25"/>
      <c r="M237" s="25"/>
      <c r="N237" s="25"/>
    </row>
    <row r="238" spans="4:14" ht="14.25" customHeight="1">
      <c r="D238" s="25"/>
      <c r="F238" s="25"/>
      <c r="H238" s="25"/>
      <c r="J238" s="25"/>
      <c r="L238" s="25"/>
      <c r="M238" s="25"/>
      <c r="N238" s="25"/>
    </row>
    <row r="239" spans="4:14" ht="14.25" customHeight="1">
      <c r="D239" s="25"/>
      <c r="F239" s="25"/>
      <c r="H239" s="25"/>
      <c r="J239" s="25"/>
      <c r="L239" s="25"/>
      <c r="M239" s="25"/>
      <c r="N239" s="25"/>
    </row>
    <row r="240" spans="4:14" ht="14.25" customHeight="1">
      <c r="D240" s="25"/>
      <c r="F240" s="25"/>
      <c r="H240" s="25"/>
      <c r="J240" s="25"/>
      <c r="L240" s="25"/>
      <c r="M240" s="25"/>
      <c r="N240" s="25"/>
    </row>
    <row r="241" spans="4:14" ht="14.25" customHeight="1">
      <c r="D241" s="25"/>
      <c r="F241" s="25"/>
      <c r="H241" s="25"/>
      <c r="J241" s="25"/>
      <c r="L241" s="25"/>
      <c r="M241" s="25"/>
      <c r="N241" s="25"/>
    </row>
    <row r="242" spans="4:14" ht="14.25" customHeight="1">
      <c r="D242" s="25"/>
      <c r="F242" s="25"/>
      <c r="H242" s="25"/>
      <c r="J242" s="25"/>
      <c r="L242" s="25"/>
      <c r="M242" s="25"/>
      <c r="N242" s="25"/>
    </row>
    <row r="243" spans="4:14" ht="14.25" customHeight="1">
      <c r="D243" s="25"/>
      <c r="F243" s="25"/>
      <c r="H243" s="25"/>
      <c r="J243" s="25"/>
      <c r="L243" s="25"/>
      <c r="M243" s="25"/>
      <c r="N243" s="25"/>
    </row>
    <row r="244" spans="4:14" ht="14.25" customHeight="1">
      <c r="D244" s="25"/>
      <c r="F244" s="25"/>
      <c r="H244" s="25"/>
      <c r="J244" s="25"/>
      <c r="L244" s="25"/>
      <c r="M244" s="25"/>
      <c r="N244" s="25"/>
    </row>
    <row r="245" spans="4:14" ht="14.25" customHeight="1">
      <c r="D245" s="25"/>
      <c r="F245" s="25"/>
      <c r="H245" s="25"/>
      <c r="J245" s="25"/>
      <c r="L245" s="25"/>
      <c r="M245" s="25"/>
      <c r="N245" s="25"/>
    </row>
    <row r="246" spans="4:14" ht="14.25" customHeight="1">
      <c r="D246" s="25"/>
      <c r="F246" s="25"/>
      <c r="H246" s="25"/>
      <c r="J246" s="25"/>
      <c r="L246" s="25"/>
      <c r="M246" s="25"/>
      <c r="N246" s="25"/>
    </row>
    <row r="247" spans="4:14" ht="14.25" customHeight="1">
      <c r="D247" s="25"/>
      <c r="F247" s="25"/>
      <c r="H247" s="25"/>
      <c r="J247" s="25"/>
      <c r="L247" s="25"/>
      <c r="M247" s="25"/>
      <c r="N247" s="25"/>
    </row>
    <row r="248" spans="4:14" ht="14.25" customHeight="1">
      <c r="D248" s="25"/>
      <c r="F248" s="25"/>
      <c r="H248" s="25"/>
      <c r="J248" s="25"/>
      <c r="L248" s="25"/>
      <c r="M248" s="25"/>
      <c r="N248" s="25"/>
    </row>
    <row r="249" spans="4:14" ht="14.25" customHeight="1">
      <c r="D249" s="25"/>
      <c r="F249" s="25"/>
      <c r="H249" s="25"/>
      <c r="J249" s="25"/>
      <c r="L249" s="25"/>
      <c r="M249" s="25"/>
      <c r="N249" s="25"/>
    </row>
    <row r="250" spans="4:14" ht="14.25" customHeight="1">
      <c r="D250" s="25"/>
      <c r="F250" s="25"/>
      <c r="H250" s="25"/>
      <c r="J250" s="25"/>
      <c r="L250" s="25"/>
      <c r="M250" s="25"/>
      <c r="N250" s="25"/>
    </row>
    <row r="251" spans="4:14" ht="14.25" customHeight="1">
      <c r="D251" s="25"/>
      <c r="F251" s="25"/>
      <c r="H251" s="25"/>
      <c r="J251" s="25"/>
      <c r="L251" s="25"/>
      <c r="M251" s="25"/>
      <c r="N251" s="25"/>
    </row>
    <row r="252" spans="4:14" ht="14.25" customHeight="1">
      <c r="D252" s="25"/>
      <c r="F252" s="25"/>
      <c r="H252" s="25"/>
      <c r="J252" s="25"/>
      <c r="L252" s="25"/>
      <c r="M252" s="25"/>
      <c r="N252" s="25"/>
    </row>
    <row r="253" spans="4:14" ht="14.25" customHeight="1">
      <c r="D253" s="25"/>
      <c r="F253" s="25"/>
      <c r="H253" s="25"/>
      <c r="J253" s="25"/>
      <c r="L253" s="25"/>
      <c r="M253" s="25"/>
      <c r="N253" s="25"/>
    </row>
    <row r="254" spans="4:14" ht="14.25" customHeight="1">
      <c r="D254" s="25"/>
      <c r="F254" s="25"/>
      <c r="H254" s="25"/>
      <c r="J254" s="25"/>
      <c r="L254" s="25"/>
      <c r="M254" s="25"/>
      <c r="N254" s="25"/>
    </row>
    <row r="255" spans="4:14" ht="14.25" customHeight="1">
      <c r="D255" s="25"/>
      <c r="F255" s="25"/>
      <c r="H255" s="25"/>
      <c r="J255" s="25"/>
      <c r="L255" s="25"/>
      <c r="M255" s="25"/>
      <c r="N255" s="25"/>
    </row>
    <row r="256" spans="4:14" ht="14.25" customHeight="1">
      <c r="D256" s="25"/>
      <c r="F256" s="25"/>
      <c r="H256" s="25"/>
      <c r="J256" s="25"/>
      <c r="L256" s="25"/>
      <c r="M256" s="25"/>
      <c r="N256" s="25"/>
    </row>
    <row r="257" spans="4:14" ht="14.25" customHeight="1">
      <c r="D257" s="25"/>
      <c r="F257" s="25"/>
      <c r="H257" s="25"/>
      <c r="J257" s="25"/>
      <c r="L257" s="25"/>
      <c r="M257" s="25"/>
      <c r="N257" s="25"/>
    </row>
    <row r="258" spans="4:14" ht="14.25" customHeight="1">
      <c r="D258" s="25"/>
      <c r="F258" s="25"/>
      <c r="H258" s="25"/>
      <c r="J258" s="25"/>
      <c r="L258" s="25"/>
      <c r="M258" s="25"/>
      <c r="N258" s="25"/>
    </row>
    <row r="259" spans="4:14" ht="14.25" customHeight="1">
      <c r="D259" s="25"/>
      <c r="F259" s="25"/>
      <c r="H259" s="25"/>
      <c r="J259" s="25"/>
      <c r="L259" s="25"/>
      <c r="M259" s="25"/>
      <c r="N259" s="25"/>
    </row>
    <row r="260" spans="4:14" ht="14.25" customHeight="1">
      <c r="D260" s="25"/>
      <c r="F260" s="25"/>
      <c r="H260" s="25"/>
      <c r="J260" s="25"/>
      <c r="L260" s="25"/>
      <c r="M260" s="25"/>
      <c r="N260" s="25"/>
    </row>
    <row r="261" spans="4:14" ht="14.25" customHeight="1">
      <c r="D261" s="25"/>
      <c r="F261" s="25"/>
      <c r="H261" s="25"/>
      <c r="J261" s="25"/>
      <c r="L261" s="25"/>
      <c r="M261" s="25"/>
      <c r="N261" s="25"/>
    </row>
    <row r="262" spans="4:14" ht="14.25" customHeight="1">
      <c r="D262" s="25"/>
      <c r="F262" s="25"/>
      <c r="H262" s="25"/>
      <c r="J262" s="25"/>
      <c r="L262" s="25"/>
      <c r="M262" s="25"/>
      <c r="N262" s="25"/>
    </row>
    <row r="263" spans="4:14" ht="14.25" customHeight="1">
      <c r="D263" s="25"/>
      <c r="F263" s="25"/>
      <c r="H263" s="25"/>
      <c r="J263" s="25"/>
      <c r="L263" s="25"/>
      <c r="M263" s="25"/>
      <c r="N263" s="25"/>
    </row>
    <row r="264" spans="4:14" ht="14.25" customHeight="1">
      <c r="D264" s="25"/>
      <c r="F264" s="25"/>
      <c r="H264" s="25"/>
      <c r="J264" s="25"/>
      <c r="L264" s="25"/>
      <c r="M264" s="25"/>
      <c r="N264" s="25"/>
    </row>
    <row r="265" spans="4:14" ht="14.25" customHeight="1">
      <c r="D265" s="25"/>
      <c r="F265" s="25"/>
      <c r="H265" s="25"/>
      <c r="J265" s="25"/>
      <c r="L265" s="25"/>
      <c r="M265" s="25"/>
      <c r="N265" s="25"/>
    </row>
    <row r="266" spans="4:14" ht="14.25" customHeight="1">
      <c r="D266" s="25"/>
      <c r="F266" s="25"/>
      <c r="H266" s="25"/>
      <c r="J266" s="25"/>
      <c r="L266" s="25"/>
      <c r="M266" s="25"/>
      <c r="N266" s="25"/>
    </row>
    <row r="267" spans="4:14" ht="14.25" customHeight="1">
      <c r="D267" s="25"/>
      <c r="F267" s="25"/>
      <c r="H267" s="25"/>
      <c r="J267" s="25"/>
      <c r="L267" s="25"/>
      <c r="M267" s="25"/>
      <c r="N267" s="25"/>
    </row>
    <row r="268" spans="4:14" ht="14.25" customHeight="1">
      <c r="D268" s="25"/>
      <c r="F268" s="25"/>
      <c r="H268" s="25"/>
      <c r="J268" s="25"/>
      <c r="L268" s="25"/>
      <c r="M268" s="25"/>
      <c r="N268" s="25"/>
    </row>
    <row r="269" spans="4:14" ht="14.25" customHeight="1">
      <c r="D269" s="25"/>
      <c r="F269" s="25"/>
      <c r="H269" s="25"/>
      <c r="J269" s="25"/>
      <c r="L269" s="25"/>
      <c r="M269" s="25"/>
      <c r="N269" s="25"/>
    </row>
    <row r="270" spans="4:14" ht="14.25" customHeight="1">
      <c r="D270" s="25"/>
      <c r="F270" s="25"/>
      <c r="H270" s="25"/>
      <c r="J270" s="25"/>
      <c r="L270" s="25"/>
      <c r="M270" s="25"/>
      <c r="N270" s="25"/>
    </row>
    <row r="271" spans="4:14" ht="14.25" customHeight="1">
      <c r="D271" s="25"/>
      <c r="F271" s="25"/>
      <c r="H271" s="25"/>
      <c r="J271" s="25"/>
      <c r="L271" s="25"/>
      <c r="M271" s="25"/>
      <c r="N271" s="25"/>
    </row>
    <row r="272" spans="4:14" ht="14.25" customHeight="1">
      <c r="D272" s="25"/>
      <c r="F272" s="25"/>
      <c r="H272" s="25"/>
      <c r="J272" s="25"/>
      <c r="L272" s="25"/>
      <c r="M272" s="25"/>
      <c r="N272" s="25"/>
    </row>
    <row r="273" spans="4:14" ht="14.25" customHeight="1">
      <c r="D273" s="25"/>
      <c r="F273" s="25"/>
      <c r="H273" s="25"/>
      <c r="J273" s="25"/>
      <c r="L273" s="25"/>
      <c r="M273" s="25"/>
      <c r="N273" s="25"/>
    </row>
    <row r="274" spans="4:14" ht="14.25" customHeight="1">
      <c r="D274" s="25"/>
      <c r="F274" s="25"/>
      <c r="H274" s="25"/>
      <c r="J274" s="25"/>
      <c r="L274" s="25"/>
      <c r="M274" s="25"/>
      <c r="N274" s="25"/>
    </row>
    <row r="275" spans="4:14" ht="14.25" customHeight="1">
      <c r="D275" s="25"/>
      <c r="F275" s="25"/>
      <c r="H275" s="25"/>
      <c r="J275" s="25"/>
      <c r="L275" s="25"/>
      <c r="M275" s="25"/>
      <c r="N275" s="25"/>
    </row>
    <row r="276" spans="4:14" ht="14.25" customHeight="1">
      <c r="D276" s="25"/>
      <c r="F276" s="25"/>
      <c r="H276" s="25"/>
      <c r="J276" s="25"/>
      <c r="L276" s="25"/>
      <c r="M276" s="25"/>
      <c r="N276" s="25"/>
    </row>
    <row r="277" spans="4:14" ht="14.25" customHeight="1">
      <c r="D277" s="25"/>
      <c r="F277" s="25"/>
      <c r="H277" s="25"/>
      <c r="J277" s="25"/>
      <c r="L277" s="25"/>
      <c r="M277" s="25"/>
      <c r="N277" s="25"/>
    </row>
    <row r="278" spans="4:14" ht="14.25" customHeight="1">
      <c r="D278" s="25"/>
      <c r="F278" s="25"/>
      <c r="H278" s="25"/>
      <c r="J278" s="25"/>
      <c r="L278" s="25"/>
      <c r="M278" s="25"/>
      <c r="N278" s="25"/>
    </row>
    <row r="279" spans="4:14" ht="14.25" customHeight="1">
      <c r="D279" s="25"/>
      <c r="F279" s="25"/>
      <c r="H279" s="25"/>
      <c r="J279" s="25"/>
      <c r="L279" s="25"/>
      <c r="M279" s="25"/>
      <c r="N279" s="25"/>
    </row>
    <row r="280" spans="4:14" ht="14.25" customHeight="1">
      <c r="D280" s="25"/>
      <c r="F280" s="25"/>
      <c r="H280" s="25"/>
      <c r="J280" s="25"/>
      <c r="L280" s="25"/>
      <c r="M280" s="25"/>
      <c r="N280" s="25"/>
    </row>
    <row r="281" spans="4:14" ht="14.25" customHeight="1">
      <c r="D281" s="25"/>
      <c r="F281" s="25"/>
      <c r="H281" s="25"/>
      <c r="J281" s="25"/>
      <c r="L281" s="25"/>
      <c r="M281" s="25"/>
      <c r="N281" s="25"/>
    </row>
    <row r="282" spans="4:14" ht="14.25" customHeight="1">
      <c r="D282" s="25"/>
      <c r="F282" s="25"/>
      <c r="H282" s="25"/>
      <c r="J282" s="25"/>
      <c r="L282" s="25"/>
      <c r="M282" s="25"/>
      <c r="N282" s="25"/>
    </row>
    <row r="283" spans="4:14" ht="14.25" customHeight="1">
      <c r="D283" s="25"/>
      <c r="F283" s="25"/>
      <c r="H283" s="25"/>
      <c r="J283" s="25"/>
      <c r="L283" s="25"/>
      <c r="M283" s="25"/>
      <c r="N283" s="25"/>
    </row>
    <row r="284" spans="4:14" ht="14.25" customHeight="1">
      <c r="D284" s="25"/>
      <c r="F284" s="25"/>
      <c r="H284" s="25"/>
      <c r="J284" s="25"/>
      <c r="L284" s="25"/>
      <c r="M284" s="25"/>
      <c r="N284" s="25"/>
    </row>
    <row r="285" spans="4:14" ht="14.25" customHeight="1">
      <c r="D285" s="25"/>
      <c r="F285" s="25"/>
      <c r="H285" s="25"/>
      <c r="J285" s="25"/>
      <c r="L285" s="25"/>
      <c r="M285" s="25"/>
      <c r="N285" s="25"/>
    </row>
    <row r="286" spans="4:14" ht="14.25" customHeight="1">
      <c r="D286" s="25"/>
      <c r="F286" s="25"/>
      <c r="H286" s="25"/>
      <c r="J286" s="25"/>
      <c r="L286" s="25"/>
      <c r="M286" s="25"/>
      <c r="N286" s="25"/>
    </row>
    <row r="287" spans="4:14" ht="14.25" customHeight="1">
      <c r="D287" s="25"/>
      <c r="F287" s="25"/>
      <c r="H287" s="25"/>
      <c r="J287" s="25"/>
      <c r="L287" s="25"/>
      <c r="M287" s="25"/>
      <c r="N287" s="25"/>
    </row>
    <row r="288" spans="4:14" ht="14.25" customHeight="1">
      <c r="D288" s="25"/>
      <c r="F288" s="25"/>
      <c r="H288" s="25"/>
      <c r="J288" s="25"/>
      <c r="L288" s="25"/>
      <c r="M288" s="25"/>
      <c r="N288" s="25"/>
    </row>
    <row r="289" spans="4:14" ht="14.25" customHeight="1">
      <c r="D289" s="25"/>
      <c r="F289" s="25"/>
      <c r="H289" s="25"/>
      <c r="J289" s="25"/>
      <c r="L289" s="25"/>
      <c r="M289" s="25"/>
      <c r="N289" s="25"/>
    </row>
    <row r="290" spans="4:14" ht="14.25" customHeight="1">
      <c r="D290" s="25"/>
      <c r="F290" s="25"/>
      <c r="H290" s="25"/>
      <c r="J290" s="25"/>
      <c r="L290" s="25"/>
      <c r="M290" s="25"/>
      <c r="N290" s="25"/>
    </row>
    <row r="291" spans="4:14" ht="14.25" customHeight="1">
      <c r="D291" s="25"/>
      <c r="F291" s="25"/>
      <c r="H291" s="25"/>
      <c r="J291" s="25"/>
      <c r="L291" s="25"/>
      <c r="M291" s="25"/>
      <c r="N291" s="25"/>
    </row>
    <row r="292" spans="4:14" ht="14.25" customHeight="1">
      <c r="D292" s="25"/>
      <c r="F292" s="25"/>
      <c r="H292" s="25"/>
      <c r="J292" s="25"/>
      <c r="L292" s="25"/>
      <c r="M292" s="25"/>
      <c r="N292" s="25"/>
    </row>
    <row r="293" spans="4:14" ht="14.25" customHeight="1">
      <c r="D293" s="25"/>
      <c r="F293" s="25"/>
      <c r="H293" s="25"/>
      <c r="J293" s="25"/>
      <c r="L293" s="25"/>
      <c r="M293" s="25"/>
      <c r="N293" s="25"/>
    </row>
    <row r="294" spans="4:14" ht="14.25" customHeight="1">
      <c r="D294" s="25"/>
      <c r="F294" s="25"/>
      <c r="H294" s="25"/>
      <c r="J294" s="25"/>
      <c r="L294" s="25"/>
      <c r="M294" s="25"/>
      <c r="N294" s="25"/>
    </row>
    <row r="295" spans="4:14" ht="14.25" customHeight="1">
      <c r="D295" s="25"/>
      <c r="F295" s="25"/>
      <c r="H295" s="25"/>
      <c r="J295" s="25"/>
      <c r="L295" s="25"/>
      <c r="M295" s="25"/>
      <c r="N295" s="25"/>
    </row>
    <row r="296" spans="4:14" ht="14.25" customHeight="1">
      <c r="D296" s="25"/>
      <c r="F296" s="25"/>
      <c r="H296" s="25"/>
      <c r="J296" s="25"/>
      <c r="L296" s="25"/>
      <c r="M296" s="25"/>
      <c r="N296" s="25"/>
    </row>
    <row r="297" spans="4:14" ht="14.25" customHeight="1">
      <c r="D297" s="25"/>
      <c r="F297" s="25"/>
      <c r="H297" s="25"/>
      <c r="J297" s="25"/>
      <c r="L297" s="25"/>
      <c r="M297" s="25"/>
      <c r="N297" s="25"/>
    </row>
    <row r="298" spans="4:14" ht="14.25" customHeight="1">
      <c r="D298" s="25"/>
      <c r="F298" s="25"/>
      <c r="H298" s="25"/>
      <c r="J298" s="25"/>
      <c r="L298" s="25"/>
      <c r="M298" s="25"/>
      <c r="N298" s="25"/>
    </row>
    <row r="299" spans="4:14" ht="14.25" customHeight="1">
      <c r="D299" s="25"/>
      <c r="F299" s="25"/>
      <c r="H299" s="25"/>
      <c r="J299" s="25"/>
      <c r="L299" s="25"/>
      <c r="M299" s="25"/>
      <c r="N299" s="25"/>
    </row>
    <row r="300" spans="4:14" ht="14.25" customHeight="1">
      <c r="D300" s="25"/>
      <c r="F300" s="25"/>
      <c r="H300" s="25"/>
      <c r="J300" s="25"/>
      <c r="L300" s="25"/>
      <c r="M300" s="25"/>
      <c r="N300" s="25"/>
    </row>
    <row r="301" spans="4:14" ht="14.25" customHeight="1">
      <c r="D301" s="25"/>
      <c r="F301" s="25"/>
      <c r="H301" s="25"/>
      <c r="J301" s="25"/>
      <c r="L301" s="25"/>
      <c r="M301" s="25"/>
      <c r="N301" s="25"/>
    </row>
    <row r="302" spans="4:14" ht="14.25" customHeight="1">
      <c r="D302" s="25"/>
      <c r="F302" s="25"/>
      <c r="H302" s="25"/>
      <c r="J302" s="25"/>
      <c r="L302" s="25"/>
      <c r="M302" s="25"/>
      <c r="N302" s="25"/>
    </row>
    <row r="303" spans="4:14" ht="14.25" customHeight="1">
      <c r="D303" s="25"/>
      <c r="F303" s="25"/>
      <c r="H303" s="25"/>
      <c r="J303" s="25"/>
      <c r="L303" s="25"/>
      <c r="M303" s="25"/>
      <c r="N303" s="25"/>
    </row>
    <row r="304" spans="4:14" ht="14.25" customHeight="1">
      <c r="D304" s="25"/>
      <c r="F304" s="25"/>
      <c r="H304" s="25"/>
      <c r="J304" s="25"/>
      <c r="L304" s="25"/>
      <c r="M304" s="25"/>
      <c r="N304" s="25"/>
    </row>
    <row r="305" spans="4:14" ht="14.25" customHeight="1">
      <c r="D305" s="25"/>
      <c r="F305" s="25"/>
      <c r="H305" s="25"/>
      <c r="J305" s="25"/>
      <c r="L305" s="25"/>
      <c r="M305" s="25"/>
      <c r="N305" s="25"/>
    </row>
    <row r="306" spans="4:14" ht="14.25" customHeight="1">
      <c r="D306" s="25"/>
      <c r="F306" s="25"/>
      <c r="H306" s="25"/>
      <c r="J306" s="25"/>
      <c r="L306" s="25"/>
      <c r="M306" s="25"/>
      <c r="N306" s="25"/>
    </row>
    <row r="307" spans="4:14" ht="14.25" customHeight="1">
      <c r="D307" s="25"/>
      <c r="F307" s="25"/>
      <c r="H307" s="25"/>
      <c r="J307" s="25"/>
      <c r="L307" s="25"/>
      <c r="M307" s="25"/>
      <c r="N307" s="25"/>
    </row>
    <row r="308" spans="4:14" ht="14.25" customHeight="1">
      <c r="D308" s="25"/>
      <c r="F308" s="25"/>
      <c r="H308" s="25"/>
      <c r="J308" s="25"/>
      <c r="L308" s="25"/>
      <c r="M308" s="25"/>
      <c r="N308" s="25"/>
    </row>
    <row r="309" spans="4:14" ht="14.25" customHeight="1">
      <c r="D309" s="25"/>
      <c r="F309" s="25"/>
      <c r="H309" s="25"/>
      <c r="J309" s="25"/>
      <c r="L309" s="25"/>
      <c r="M309" s="25"/>
      <c r="N309" s="25"/>
    </row>
    <row r="310" spans="4:14" ht="14.25" customHeight="1">
      <c r="D310" s="25"/>
      <c r="F310" s="25"/>
      <c r="H310" s="25"/>
      <c r="J310" s="25"/>
      <c r="L310" s="25"/>
      <c r="M310" s="25"/>
      <c r="N310" s="25"/>
    </row>
    <row r="311" spans="4:14" ht="14.25" customHeight="1">
      <c r="D311" s="25"/>
      <c r="F311" s="25"/>
      <c r="H311" s="25"/>
      <c r="J311" s="25"/>
      <c r="L311" s="25"/>
      <c r="M311" s="25"/>
      <c r="N311" s="25"/>
    </row>
    <row r="312" spans="4:14" ht="14.25" customHeight="1">
      <c r="D312" s="25"/>
      <c r="F312" s="25"/>
      <c r="H312" s="25"/>
      <c r="J312" s="25"/>
      <c r="L312" s="25"/>
      <c r="M312" s="25"/>
      <c r="N312" s="25"/>
    </row>
    <row r="313" spans="4:14" ht="14.25" customHeight="1">
      <c r="D313" s="25"/>
      <c r="F313" s="25"/>
      <c r="H313" s="25"/>
      <c r="J313" s="25"/>
      <c r="L313" s="25"/>
      <c r="M313" s="25"/>
      <c r="N313" s="25"/>
    </row>
    <row r="314" spans="4:14" ht="14.25" customHeight="1">
      <c r="D314" s="25"/>
      <c r="F314" s="25"/>
      <c r="H314" s="25"/>
      <c r="J314" s="25"/>
      <c r="L314" s="25"/>
      <c r="M314" s="25"/>
      <c r="N314" s="25"/>
    </row>
    <row r="315" spans="4:14" ht="14.25" customHeight="1">
      <c r="D315" s="25"/>
      <c r="F315" s="25"/>
      <c r="H315" s="25"/>
      <c r="J315" s="25"/>
      <c r="L315" s="25"/>
      <c r="M315" s="25"/>
      <c r="N315" s="25"/>
    </row>
    <row r="316" spans="4:14" ht="14.25" customHeight="1">
      <c r="D316" s="25"/>
      <c r="F316" s="25"/>
      <c r="H316" s="25"/>
      <c r="J316" s="25"/>
      <c r="L316" s="25"/>
      <c r="M316" s="25"/>
      <c r="N316" s="25"/>
    </row>
    <row r="317" spans="4:14" ht="14.25" customHeight="1">
      <c r="D317" s="25"/>
      <c r="F317" s="25"/>
      <c r="H317" s="25"/>
      <c r="J317" s="25"/>
      <c r="L317" s="25"/>
      <c r="M317" s="25"/>
      <c r="N317" s="25"/>
    </row>
    <row r="318" spans="4:14" ht="14.25" customHeight="1">
      <c r="D318" s="25"/>
      <c r="F318" s="25"/>
      <c r="H318" s="25"/>
      <c r="J318" s="25"/>
      <c r="L318" s="25"/>
      <c r="M318" s="25"/>
      <c r="N318" s="25"/>
    </row>
    <row r="319" spans="4:14" ht="14.25" customHeight="1">
      <c r="D319" s="25"/>
      <c r="F319" s="25"/>
      <c r="H319" s="25"/>
      <c r="J319" s="25"/>
      <c r="L319" s="25"/>
      <c r="M319" s="25"/>
      <c r="N319" s="25"/>
    </row>
    <row r="320" spans="4:14" ht="14.25" customHeight="1">
      <c r="D320" s="25"/>
      <c r="F320" s="25"/>
      <c r="H320" s="25"/>
      <c r="J320" s="25"/>
      <c r="L320" s="25"/>
      <c r="M320" s="25"/>
      <c r="N320" s="25"/>
    </row>
    <row r="321" spans="4:14" ht="14.25" customHeight="1">
      <c r="D321" s="25"/>
      <c r="F321" s="25"/>
      <c r="H321" s="25"/>
      <c r="J321" s="25"/>
      <c r="L321" s="25"/>
      <c r="M321" s="25"/>
      <c r="N321" s="25"/>
    </row>
    <row r="322" spans="4:14" ht="14.25" customHeight="1">
      <c r="D322" s="25"/>
      <c r="F322" s="25"/>
      <c r="H322" s="25"/>
      <c r="J322" s="25"/>
      <c r="L322" s="25"/>
      <c r="M322" s="25"/>
      <c r="N322" s="25"/>
    </row>
    <row r="323" spans="4:14" ht="14.25" customHeight="1">
      <c r="D323" s="25"/>
      <c r="F323" s="25"/>
      <c r="H323" s="25"/>
      <c r="J323" s="25"/>
      <c r="L323" s="25"/>
      <c r="M323" s="25"/>
      <c r="N323" s="25"/>
    </row>
    <row r="324" spans="4:14" ht="14.25" customHeight="1">
      <c r="D324" s="25"/>
      <c r="F324" s="25"/>
      <c r="H324" s="25"/>
      <c r="J324" s="25"/>
      <c r="L324" s="25"/>
      <c r="M324" s="25"/>
      <c r="N324" s="25"/>
    </row>
    <row r="325" spans="4:14" ht="14.25" customHeight="1">
      <c r="D325" s="25"/>
      <c r="F325" s="25"/>
      <c r="H325" s="25"/>
      <c r="J325" s="25"/>
      <c r="L325" s="25"/>
      <c r="M325" s="25"/>
      <c r="N325" s="25"/>
    </row>
    <row r="326" spans="4:14" ht="14.25" customHeight="1">
      <c r="D326" s="25"/>
      <c r="F326" s="25"/>
      <c r="H326" s="25"/>
      <c r="J326" s="25"/>
      <c r="L326" s="25"/>
      <c r="M326" s="25"/>
      <c r="N326" s="25"/>
    </row>
    <row r="327" spans="4:14" ht="14.25" customHeight="1">
      <c r="D327" s="25"/>
      <c r="F327" s="25"/>
      <c r="H327" s="25"/>
      <c r="J327" s="25"/>
      <c r="L327" s="25"/>
      <c r="M327" s="25"/>
      <c r="N327" s="25"/>
    </row>
    <row r="328" spans="4:14" ht="14.25" customHeight="1">
      <c r="D328" s="25"/>
      <c r="F328" s="25"/>
      <c r="H328" s="25"/>
      <c r="J328" s="25"/>
      <c r="L328" s="25"/>
      <c r="M328" s="25"/>
      <c r="N328" s="25"/>
    </row>
    <row r="329" spans="4:14" ht="14.25" customHeight="1">
      <c r="D329" s="25"/>
      <c r="F329" s="25"/>
      <c r="H329" s="25"/>
      <c r="J329" s="25"/>
      <c r="L329" s="25"/>
      <c r="M329" s="25"/>
      <c r="N329" s="25"/>
    </row>
    <row r="330" spans="4:14" ht="14.25" customHeight="1">
      <c r="D330" s="25"/>
      <c r="F330" s="25"/>
      <c r="H330" s="25"/>
      <c r="J330" s="25"/>
      <c r="L330" s="25"/>
      <c r="M330" s="25"/>
      <c r="N330" s="25"/>
    </row>
    <row r="331" spans="4:14" ht="14.25" customHeight="1">
      <c r="D331" s="25"/>
      <c r="F331" s="25"/>
      <c r="H331" s="25"/>
      <c r="J331" s="25"/>
      <c r="L331" s="25"/>
      <c r="M331" s="25"/>
      <c r="N331" s="25"/>
    </row>
    <row r="332" spans="4:14" ht="14.25" customHeight="1">
      <c r="D332" s="25"/>
      <c r="F332" s="25"/>
      <c r="H332" s="25"/>
      <c r="J332" s="25"/>
      <c r="L332" s="25"/>
      <c r="M332" s="25"/>
      <c r="N332" s="25"/>
    </row>
    <row r="333" spans="4:14" ht="14.25" customHeight="1">
      <c r="D333" s="25"/>
      <c r="F333" s="25"/>
      <c r="H333" s="25"/>
      <c r="J333" s="25"/>
      <c r="L333" s="25"/>
      <c r="M333" s="25"/>
      <c r="N333" s="25"/>
    </row>
    <row r="334" spans="4:14" ht="14.25" customHeight="1">
      <c r="D334" s="25"/>
      <c r="F334" s="25"/>
      <c r="H334" s="25"/>
      <c r="J334" s="25"/>
      <c r="L334" s="25"/>
      <c r="M334" s="25"/>
      <c r="N334" s="25"/>
    </row>
    <row r="335" spans="4:14" ht="14.25" customHeight="1">
      <c r="D335" s="25"/>
      <c r="F335" s="25"/>
      <c r="H335" s="25"/>
      <c r="J335" s="25"/>
      <c r="L335" s="25"/>
      <c r="M335" s="25"/>
      <c r="N335" s="25"/>
    </row>
    <row r="336" spans="4:14" ht="14.25" customHeight="1">
      <c r="D336" s="25"/>
      <c r="F336" s="25"/>
      <c r="H336" s="25"/>
      <c r="J336" s="25"/>
      <c r="L336" s="25"/>
      <c r="M336" s="25"/>
      <c r="N336" s="25"/>
    </row>
    <row r="337" spans="4:14" ht="14.25" customHeight="1">
      <c r="D337" s="25"/>
      <c r="F337" s="25"/>
      <c r="H337" s="25"/>
      <c r="J337" s="25"/>
      <c r="L337" s="25"/>
      <c r="M337" s="25"/>
      <c r="N337" s="25"/>
    </row>
    <row r="338" spans="4:14" ht="14.25" customHeight="1">
      <c r="D338" s="25"/>
      <c r="F338" s="25"/>
      <c r="H338" s="25"/>
      <c r="J338" s="25"/>
      <c r="L338" s="25"/>
      <c r="M338" s="25"/>
      <c r="N338" s="25"/>
    </row>
    <row r="339" spans="4:14" ht="14.25" customHeight="1">
      <c r="D339" s="25"/>
      <c r="F339" s="25"/>
      <c r="H339" s="25"/>
      <c r="J339" s="25"/>
      <c r="L339" s="25"/>
      <c r="M339" s="25"/>
      <c r="N339" s="25"/>
    </row>
    <row r="340" spans="4:14" ht="14.25" customHeight="1">
      <c r="D340" s="25"/>
      <c r="F340" s="25"/>
      <c r="H340" s="25"/>
      <c r="J340" s="25"/>
      <c r="L340" s="25"/>
      <c r="M340" s="25"/>
      <c r="N340" s="25"/>
    </row>
    <row r="341" spans="4:14" ht="14.25" customHeight="1">
      <c r="D341" s="25"/>
      <c r="F341" s="25"/>
      <c r="H341" s="25"/>
      <c r="J341" s="25"/>
      <c r="L341" s="25"/>
      <c r="M341" s="25"/>
      <c r="N341" s="25"/>
    </row>
    <row r="342" spans="4:14" ht="14.25" customHeight="1">
      <c r="D342" s="25"/>
      <c r="F342" s="25"/>
      <c r="H342" s="25"/>
      <c r="J342" s="25"/>
      <c r="L342" s="25"/>
      <c r="M342" s="25"/>
      <c r="N342" s="25"/>
    </row>
    <row r="343" spans="4:14" ht="14.25" customHeight="1">
      <c r="D343" s="25"/>
      <c r="F343" s="25"/>
      <c r="H343" s="25"/>
      <c r="J343" s="25"/>
      <c r="L343" s="25"/>
      <c r="M343" s="25"/>
      <c r="N343" s="25"/>
    </row>
    <row r="344" spans="4:14" ht="14.25" customHeight="1">
      <c r="D344" s="25"/>
      <c r="F344" s="25"/>
      <c r="H344" s="25"/>
      <c r="J344" s="25"/>
      <c r="L344" s="25"/>
      <c r="M344" s="25"/>
      <c r="N344" s="25"/>
    </row>
    <row r="345" spans="4:14" ht="14.25" customHeight="1">
      <c r="D345" s="25"/>
      <c r="F345" s="25"/>
      <c r="H345" s="25"/>
      <c r="J345" s="25"/>
      <c r="L345" s="25"/>
      <c r="M345" s="25"/>
      <c r="N345" s="25"/>
    </row>
    <row r="346" spans="4:14" ht="14.25" customHeight="1">
      <c r="D346" s="25"/>
      <c r="F346" s="25"/>
      <c r="H346" s="25"/>
      <c r="J346" s="25"/>
      <c r="L346" s="25"/>
      <c r="M346" s="25"/>
      <c r="N346" s="25"/>
    </row>
    <row r="347" spans="4:14" ht="14.25" customHeight="1">
      <c r="D347" s="25"/>
      <c r="F347" s="25"/>
      <c r="H347" s="25"/>
      <c r="J347" s="25"/>
      <c r="L347" s="25"/>
      <c r="M347" s="25"/>
      <c r="N347" s="25"/>
    </row>
    <row r="348" spans="4:14" ht="14.25" customHeight="1">
      <c r="D348" s="25"/>
      <c r="F348" s="25"/>
      <c r="H348" s="25"/>
      <c r="J348" s="25"/>
      <c r="L348" s="25"/>
      <c r="M348" s="25"/>
      <c r="N348" s="25"/>
    </row>
    <row r="349" spans="4:14" ht="14.25" customHeight="1">
      <c r="D349" s="25"/>
      <c r="F349" s="25"/>
      <c r="H349" s="25"/>
      <c r="J349" s="25"/>
      <c r="L349" s="25"/>
      <c r="M349" s="25"/>
      <c r="N349" s="25"/>
    </row>
    <row r="350" spans="4:14" ht="14.25" customHeight="1">
      <c r="D350" s="25"/>
      <c r="F350" s="25"/>
      <c r="H350" s="25"/>
      <c r="J350" s="25"/>
      <c r="L350" s="25"/>
      <c r="M350" s="25"/>
      <c r="N350" s="25"/>
    </row>
    <row r="351" spans="4:14" ht="14.25" customHeight="1">
      <c r="D351" s="25"/>
      <c r="F351" s="25"/>
      <c r="H351" s="25"/>
      <c r="J351" s="25"/>
      <c r="L351" s="25"/>
      <c r="M351" s="25"/>
      <c r="N351" s="25"/>
    </row>
    <row r="352" spans="4:14" ht="14.25" customHeight="1">
      <c r="D352" s="25"/>
      <c r="F352" s="25"/>
      <c r="H352" s="25"/>
      <c r="J352" s="25"/>
      <c r="L352" s="25"/>
      <c r="M352" s="25"/>
      <c r="N352" s="25"/>
    </row>
    <row r="353" spans="4:14" ht="14.25" customHeight="1">
      <c r="D353" s="25"/>
      <c r="F353" s="25"/>
      <c r="H353" s="25"/>
      <c r="J353" s="25"/>
      <c r="L353" s="25"/>
      <c r="M353" s="25"/>
      <c r="N353" s="25"/>
    </row>
    <row r="354" spans="4:14" ht="14.25" customHeight="1">
      <c r="D354" s="25"/>
      <c r="F354" s="25"/>
      <c r="H354" s="25"/>
      <c r="J354" s="25"/>
      <c r="L354" s="25"/>
      <c r="M354" s="25"/>
      <c r="N354" s="25"/>
    </row>
    <row r="355" spans="4:14" ht="14.25" customHeight="1">
      <c r="D355" s="25"/>
      <c r="F355" s="25"/>
      <c r="H355" s="25"/>
      <c r="J355" s="25"/>
      <c r="L355" s="25"/>
      <c r="M355" s="25"/>
      <c r="N355" s="25"/>
    </row>
    <row r="356" spans="4:14" ht="14.25" customHeight="1">
      <c r="D356" s="25"/>
      <c r="F356" s="25"/>
      <c r="H356" s="25"/>
      <c r="J356" s="25"/>
      <c r="L356" s="25"/>
      <c r="M356" s="25"/>
      <c r="N356" s="25"/>
    </row>
    <row r="357" spans="4:14" ht="14.25" customHeight="1">
      <c r="D357" s="25"/>
      <c r="F357" s="25"/>
      <c r="H357" s="25"/>
      <c r="J357" s="25"/>
      <c r="L357" s="25"/>
      <c r="M357" s="25"/>
      <c r="N357" s="25"/>
    </row>
    <row r="358" spans="4:14" ht="14.25" customHeight="1">
      <c r="D358" s="25"/>
      <c r="F358" s="25"/>
      <c r="H358" s="25"/>
      <c r="J358" s="25"/>
      <c r="L358" s="25"/>
      <c r="M358" s="25"/>
      <c r="N358" s="25"/>
    </row>
    <row r="359" spans="4:14" ht="14.25" customHeight="1">
      <c r="D359" s="25"/>
      <c r="F359" s="25"/>
      <c r="H359" s="25"/>
      <c r="J359" s="25"/>
      <c r="L359" s="25"/>
      <c r="M359" s="25"/>
      <c r="N359" s="25"/>
    </row>
    <row r="360" spans="4:14" ht="14.25" customHeight="1">
      <c r="D360" s="25"/>
      <c r="F360" s="25"/>
      <c r="H360" s="25"/>
      <c r="J360" s="25"/>
      <c r="L360" s="25"/>
      <c r="M360" s="25"/>
      <c r="N360" s="25"/>
    </row>
    <row r="361" spans="4:14" ht="14.25" customHeight="1">
      <c r="D361" s="25"/>
      <c r="F361" s="25"/>
      <c r="H361" s="25"/>
      <c r="J361" s="25"/>
      <c r="L361" s="25"/>
      <c r="M361" s="25"/>
      <c r="N361" s="25"/>
    </row>
    <row r="362" spans="4:14" ht="14.25" customHeight="1">
      <c r="D362" s="25"/>
      <c r="F362" s="25"/>
      <c r="H362" s="25"/>
      <c r="J362" s="25"/>
      <c r="L362" s="25"/>
      <c r="M362" s="25"/>
      <c r="N362" s="25"/>
    </row>
    <row r="363" spans="4:14" ht="14.25" customHeight="1">
      <c r="D363" s="25"/>
      <c r="F363" s="25"/>
      <c r="H363" s="25"/>
      <c r="J363" s="25"/>
      <c r="L363" s="25"/>
      <c r="M363" s="25"/>
      <c r="N363" s="25"/>
    </row>
    <row r="364" spans="4:14" ht="14.25" customHeight="1">
      <c r="D364" s="25"/>
      <c r="F364" s="25"/>
      <c r="H364" s="25"/>
      <c r="J364" s="25"/>
      <c r="L364" s="25"/>
      <c r="M364" s="25"/>
      <c r="N364" s="25"/>
    </row>
    <row r="365" spans="4:14" ht="14.25" customHeight="1">
      <c r="D365" s="25"/>
      <c r="F365" s="25"/>
      <c r="H365" s="25"/>
      <c r="J365" s="25"/>
      <c r="L365" s="25"/>
      <c r="M365" s="25"/>
      <c r="N365" s="25"/>
    </row>
    <row r="366" spans="4:14" ht="14.25" customHeight="1">
      <c r="D366" s="25"/>
      <c r="F366" s="25"/>
      <c r="H366" s="25"/>
      <c r="J366" s="25"/>
      <c r="L366" s="25"/>
      <c r="M366" s="25"/>
      <c r="N366" s="25"/>
    </row>
    <row r="367" spans="4:14" ht="14.25" customHeight="1">
      <c r="D367" s="25"/>
      <c r="F367" s="25"/>
      <c r="H367" s="25"/>
      <c r="J367" s="25"/>
      <c r="L367" s="25"/>
      <c r="M367" s="25"/>
      <c r="N367" s="25"/>
    </row>
    <row r="368" spans="4:14" ht="14.25" customHeight="1">
      <c r="D368" s="25"/>
      <c r="F368" s="25"/>
      <c r="H368" s="25"/>
      <c r="J368" s="25"/>
      <c r="L368" s="25"/>
      <c r="M368" s="25"/>
      <c r="N368" s="25"/>
    </row>
    <row r="369" spans="4:14" ht="14.25" customHeight="1">
      <c r="D369" s="25"/>
      <c r="F369" s="25"/>
      <c r="H369" s="25"/>
      <c r="J369" s="25"/>
      <c r="L369" s="25"/>
      <c r="M369" s="25"/>
      <c r="N369" s="25"/>
    </row>
    <row r="370" spans="4:14" ht="14.25" customHeight="1">
      <c r="D370" s="25"/>
      <c r="F370" s="25"/>
      <c r="H370" s="25"/>
      <c r="J370" s="25"/>
      <c r="L370" s="25"/>
      <c r="M370" s="25"/>
      <c r="N370" s="25"/>
    </row>
    <row r="371" spans="4:14" ht="14.25" customHeight="1">
      <c r="D371" s="25"/>
      <c r="F371" s="25"/>
      <c r="H371" s="25"/>
      <c r="J371" s="25"/>
      <c r="L371" s="25"/>
      <c r="M371" s="25"/>
      <c r="N371" s="25"/>
    </row>
    <row r="372" spans="4:14" ht="14.25" customHeight="1">
      <c r="D372" s="25"/>
      <c r="F372" s="25"/>
      <c r="H372" s="25"/>
      <c r="J372" s="25"/>
      <c r="L372" s="25"/>
      <c r="M372" s="25"/>
      <c r="N372" s="25"/>
    </row>
    <row r="373" spans="4:14" ht="14.25" customHeight="1">
      <c r="D373" s="25"/>
      <c r="F373" s="25"/>
      <c r="H373" s="25"/>
      <c r="J373" s="25"/>
      <c r="L373" s="25"/>
      <c r="M373" s="25"/>
      <c r="N373" s="25"/>
    </row>
    <row r="374" spans="4:14" ht="14.25" customHeight="1">
      <c r="D374" s="25"/>
      <c r="F374" s="25"/>
      <c r="H374" s="25"/>
      <c r="J374" s="25"/>
      <c r="L374" s="25"/>
      <c r="M374" s="25"/>
      <c r="N374" s="25"/>
    </row>
    <row r="375" spans="4:14" ht="14.25" customHeight="1">
      <c r="D375" s="25"/>
      <c r="F375" s="25"/>
      <c r="H375" s="25"/>
      <c r="J375" s="25"/>
      <c r="L375" s="25"/>
      <c r="M375" s="25"/>
      <c r="N375" s="25"/>
    </row>
    <row r="376" spans="4:14" ht="14.25" customHeight="1">
      <c r="D376" s="25"/>
      <c r="F376" s="25"/>
      <c r="H376" s="25"/>
      <c r="J376" s="25"/>
      <c r="L376" s="25"/>
      <c r="M376" s="25"/>
      <c r="N376" s="25"/>
    </row>
    <row r="377" spans="4:14" ht="14.25" customHeight="1">
      <c r="D377" s="25"/>
      <c r="F377" s="25"/>
      <c r="H377" s="25"/>
      <c r="J377" s="25"/>
      <c r="L377" s="25"/>
      <c r="M377" s="25"/>
      <c r="N377" s="25"/>
    </row>
    <row r="378" spans="4:14" ht="14.25" customHeight="1">
      <c r="D378" s="25"/>
      <c r="F378" s="25"/>
      <c r="H378" s="25"/>
      <c r="J378" s="25"/>
      <c r="L378" s="25"/>
      <c r="M378" s="25"/>
      <c r="N378" s="25"/>
    </row>
    <row r="379" spans="4:14" ht="14.25" customHeight="1">
      <c r="D379" s="25"/>
      <c r="F379" s="25"/>
      <c r="H379" s="25"/>
      <c r="J379" s="25"/>
      <c r="L379" s="25"/>
      <c r="M379" s="25"/>
      <c r="N379" s="25"/>
    </row>
    <row r="380" spans="4:14" ht="14.25" customHeight="1">
      <c r="D380" s="25"/>
      <c r="F380" s="25"/>
      <c r="H380" s="25"/>
      <c r="J380" s="25"/>
      <c r="L380" s="25"/>
      <c r="M380" s="25"/>
      <c r="N380" s="25"/>
    </row>
    <row r="381" spans="4:14" ht="14.25" customHeight="1">
      <c r="D381" s="25"/>
      <c r="F381" s="25"/>
      <c r="H381" s="25"/>
      <c r="J381" s="25"/>
      <c r="L381" s="25"/>
      <c r="M381" s="25"/>
      <c r="N381" s="25"/>
    </row>
    <row r="382" spans="4:14" ht="14.25" customHeight="1">
      <c r="D382" s="25"/>
      <c r="F382" s="25"/>
      <c r="H382" s="25"/>
      <c r="J382" s="25"/>
      <c r="L382" s="25"/>
      <c r="M382" s="25"/>
      <c r="N382" s="25"/>
    </row>
    <row r="383" spans="4:14" ht="14.25" customHeight="1">
      <c r="D383" s="25"/>
      <c r="F383" s="25"/>
      <c r="H383" s="25"/>
      <c r="J383" s="25"/>
      <c r="L383" s="25"/>
      <c r="M383" s="25"/>
      <c r="N383" s="25"/>
    </row>
    <row r="384" spans="4:14" ht="14.25" customHeight="1">
      <c r="D384" s="25"/>
      <c r="F384" s="25"/>
      <c r="H384" s="25"/>
      <c r="J384" s="25"/>
      <c r="L384" s="25"/>
      <c r="M384" s="25"/>
      <c r="N384" s="25"/>
    </row>
    <row r="385" spans="4:14" ht="14.25" customHeight="1">
      <c r="D385" s="25"/>
      <c r="F385" s="25"/>
      <c r="H385" s="25"/>
      <c r="J385" s="25"/>
      <c r="L385" s="25"/>
      <c r="M385" s="25"/>
      <c r="N385" s="25"/>
    </row>
    <row r="386" spans="4:14" ht="14.25" customHeight="1">
      <c r="D386" s="25"/>
      <c r="F386" s="25"/>
      <c r="H386" s="25"/>
      <c r="J386" s="25"/>
      <c r="L386" s="25"/>
      <c r="M386" s="25"/>
      <c r="N386" s="25"/>
    </row>
    <row r="387" spans="4:14" ht="14.25" customHeight="1">
      <c r="D387" s="25"/>
      <c r="F387" s="25"/>
      <c r="H387" s="25"/>
      <c r="J387" s="25"/>
      <c r="L387" s="25"/>
      <c r="M387" s="25"/>
      <c r="N387" s="25"/>
    </row>
    <row r="388" spans="4:14" ht="14.25" customHeight="1">
      <c r="D388" s="25"/>
      <c r="F388" s="25"/>
      <c r="H388" s="25"/>
      <c r="J388" s="25"/>
      <c r="L388" s="25"/>
      <c r="M388" s="25"/>
      <c r="N388" s="25"/>
    </row>
    <row r="389" spans="4:14" ht="14.25" customHeight="1">
      <c r="D389" s="25"/>
      <c r="F389" s="25"/>
      <c r="H389" s="25"/>
      <c r="J389" s="25"/>
      <c r="L389" s="25"/>
      <c r="M389" s="25"/>
      <c r="N389" s="25"/>
    </row>
    <row r="390" spans="4:14" ht="14.25" customHeight="1">
      <c r="D390" s="25"/>
      <c r="F390" s="25"/>
      <c r="H390" s="25"/>
      <c r="J390" s="25"/>
      <c r="L390" s="25"/>
      <c r="M390" s="25"/>
      <c r="N390" s="25"/>
    </row>
    <row r="391" spans="4:14" ht="14.25" customHeight="1">
      <c r="D391" s="25"/>
      <c r="F391" s="25"/>
      <c r="H391" s="25"/>
      <c r="J391" s="25"/>
      <c r="L391" s="25"/>
      <c r="M391" s="25"/>
      <c r="N391" s="25"/>
    </row>
    <row r="392" spans="4:14" ht="14.25" customHeight="1">
      <c r="D392" s="25"/>
      <c r="F392" s="25"/>
      <c r="H392" s="25"/>
      <c r="J392" s="25"/>
      <c r="L392" s="25"/>
      <c r="M392" s="25"/>
      <c r="N392" s="25"/>
    </row>
    <row r="393" spans="4:14" ht="14.25" customHeight="1">
      <c r="D393" s="25"/>
      <c r="F393" s="25"/>
      <c r="H393" s="25"/>
      <c r="J393" s="25"/>
      <c r="L393" s="25"/>
      <c r="M393" s="25"/>
      <c r="N393" s="25"/>
    </row>
    <row r="394" spans="4:14" ht="14.25" customHeight="1">
      <c r="D394" s="25"/>
      <c r="F394" s="25"/>
      <c r="H394" s="25"/>
      <c r="J394" s="25"/>
      <c r="L394" s="25"/>
      <c r="M394" s="25"/>
      <c r="N394" s="25"/>
    </row>
    <row r="395" spans="4:14" ht="14.25" customHeight="1">
      <c r="D395" s="25"/>
      <c r="F395" s="25"/>
      <c r="H395" s="25"/>
      <c r="J395" s="25"/>
      <c r="L395" s="25"/>
      <c r="M395" s="25"/>
      <c r="N395" s="25"/>
    </row>
    <row r="396" spans="4:14" ht="14.25" customHeight="1">
      <c r="D396" s="25"/>
      <c r="F396" s="25"/>
      <c r="H396" s="25"/>
      <c r="J396" s="25"/>
      <c r="L396" s="25"/>
      <c r="M396" s="25"/>
      <c r="N396" s="25"/>
    </row>
    <row r="397" spans="4:14" ht="14.25" customHeight="1">
      <c r="D397" s="25"/>
      <c r="F397" s="25"/>
      <c r="H397" s="25"/>
      <c r="J397" s="25"/>
      <c r="L397" s="25"/>
      <c r="M397" s="25"/>
      <c r="N397" s="25"/>
    </row>
    <row r="398" spans="4:14" ht="14.25" customHeight="1">
      <c r="D398" s="25"/>
      <c r="F398" s="25"/>
      <c r="H398" s="25"/>
      <c r="J398" s="25"/>
      <c r="L398" s="25"/>
      <c r="M398" s="25"/>
      <c r="N398" s="25"/>
    </row>
    <row r="399" spans="4:14" ht="14.25" customHeight="1">
      <c r="D399" s="25"/>
      <c r="F399" s="25"/>
      <c r="H399" s="25"/>
      <c r="J399" s="25"/>
      <c r="L399" s="25"/>
      <c r="M399" s="25"/>
      <c r="N399" s="25"/>
    </row>
    <row r="400" spans="4:14" ht="14.25" customHeight="1">
      <c r="D400" s="25"/>
      <c r="F400" s="25"/>
      <c r="H400" s="25"/>
      <c r="J400" s="25"/>
      <c r="L400" s="25"/>
      <c r="M400" s="25"/>
      <c r="N400" s="25"/>
    </row>
    <row r="401" spans="4:14" ht="14.25" customHeight="1">
      <c r="D401" s="25"/>
      <c r="F401" s="25"/>
      <c r="H401" s="25"/>
      <c r="J401" s="25"/>
      <c r="L401" s="25"/>
      <c r="M401" s="25"/>
      <c r="N401" s="25"/>
    </row>
    <row r="402" spans="4:14" ht="14.25" customHeight="1">
      <c r="D402" s="25"/>
      <c r="F402" s="25"/>
      <c r="H402" s="25"/>
      <c r="J402" s="25"/>
      <c r="L402" s="25"/>
      <c r="M402" s="25"/>
      <c r="N402" s="25"/>
    </row>
    <row r="403" spans="4:14" ht="14.25" customHeight="1">
      <c r="D403" s="25"/>
      <c r="F403" s="25"/>
      <c r="H403" s="25"/>
      <c r="J403" s="25"/>
      <c r="L403" s="25"/>
      <c r="M403" s="25"/>
      <c r="N403" s="25"/>
    </row>
    <row r="404" spans="4:14" ht="14.25" customHeight="1">
      <c r="D404" s="25"/>
      <c r="F404" s="25"/>
      <c r="H404" s="25"/>
      <c r="J404" s="25"/>
      <c r="L404" s="25"/>
      <c r="M404" s="25"/>
      <c r="N404" s="25"/>
    </row>
    <row r="405" spans="4:14" ht="14.25" customHeight="1">
      <c r="D405" s="25"/>
      <c r="F405" s="25"/>
      <c r="H405" s="25"/>
      <c r="J405" s="25"/>
      <c r="L405" s="25"/>
      <c r="M405" s="25"/>
      <c r="N405" s="25"/>
    </row>
    <row r="406" spans="4:14" ht="14.25" customHeight="1">
      <c r="D406" s="25"/>
      <c r="F406" s="25"/>
      <c r="H406" s="25"/>
      <c r="J406" s="25"/>
      <c r="L406" s="25"/>
      <c r="M406" s="25"/>
      <c r="N406" s="25"/>
    </row>
    <row r="407" spans="4:14" ht="14.25" customHeight="1">
      <c r="D407" s="25"/>
      <c r="F407" s="25"/>
      <c r="H407" s="25"/>
      <c r="J407" s="25"/>
      <c r="L407" s="25"/>
      <c r="M407" s="25"/>
      <c r="N407" s="25"/>
    </row>
    <row r="408" spans="4:14" ht="14.25" customHeight="1">
      <c r="D408" s="25"/>
      <c r="F408" s="25"/>
      <c r="H408" s="25"/>
      <c r="J408" s="25"/>
      <c r="L408" s="25"/>
      <c r="M408" s="25"/>
      <c r="N408" s="25"/>
    </row>
    <row r="409" spans="4:14" ht="14.25" customHeight="1">
      <c r="D409" s="25"/>
      <c r="F409" s="25"/>
      <c r="H409" s="25"/>
      <c r="J409" s="25"/>
      <c r="L409" s="25"/>
      <c r="M409" s="25"/>
      <c r="N409" s="25"/>
    </row>
    <row r="410" spans="4:14" ht="14.25" customHeight="1">
      <c r="D410" s="25"/>
      <c r="F410" s="25"/>
      <c r="H410" s="25"/>
      <c r="J410" s="25"/>
      <c r="L410" s="25"/>
      <c r="M410" s="25"/>
      <c r="N410" s="25"/>
    </row>
    <row r="411" spans="4:14" ht="14.25" customHeight="1">
      <c r="D411" s="25"/>
      <c r="F411" s="25"/>
      <c r="H411" s="25"/>
      <c r="J411" s="25"/>
      <c r="L411" s="25"/>
      <c r="M411" s="25"/>
      <c r="N411" s="25"/>
    </row>
    <row r="412" spans="4:14" ht="14.25" customHeight="1">
      <c r="D412" s="25"/>
      <c r="F412" s="25"/>
      <c r="H412" s="25"/>
      <c r="J412" s="25"/>
      <c r="L412" s="25"/>
      <c r="M412" s="25"/>
      <c r="N412" s="25"/>
    </row>
    <row r="413" spans="4:14" ht="14.25" customHeight="1">
      <c r="D413" s="25"/>
      <c r="F413" s="25"/>
      <c r="H413" s="25"/>
      <c r="J413" s="25"/>
      <c r="L413" s="25"/>
      <c r="M413" s="25"/>
      <c r="N413" s="25"/>
    </row>
    <row r="414" spans="4:14" ht="14.25" customHeight="1">
      <c r="D414" s="25"/>
      <c r="F414" s="25"/>
      <c r="H414" s="25"/>
      <c r="J414" s="25"/>
      <c r="L414" s="25"/>
      <c r="M414" s="25"/>
      <c r="N414" s="25"/>
    </row>
    <row r="415" spans="4:14" ht="14.25" customHeight="1">
      <c r="D415" s="25"/>
      <c r="F415" s="25"/>
      <c r="H415" s="25"/>
      <c r="J415" s="25"/>
      <c r="L415" s="25"/>
      <c r="M415" s="25"/>
      <c r="N415" s="25"/>
    </row>
    <row r="416" spans="4:14" ht="14.25" customHeight="1">
      <c r="D416" s="25"/>
      <c r="F416" s="25"/>
      <c r="H416" s="25"/>
      <c r="J416" s="25"/>
      <c r="L416" s="25"/>
      <c r="M416" s="25"/>
      <c r="N416" s="25"/>
    </row>
    <row r="417" spans="4:14" ht="14.25" customHeight="1">
      <c r="D417" s="25"/>
      <c r="F417" s="25"/>
      <c r="H417" s="25"/>
      <c r="J417" s="25"/>
      <c r="L417" s="25"/>
      <c r="M417" s="25"/>
      <c r="N417" s="25"/>
    </row>
    <row r="418" spans="4:14" ht="14.25" customHeight="1">
      <c r="D418" s="25"/>
      <c r="F418" s="25"/>
      <c r="H418" s="25"/>
      <c r="J418" s="25"/>
      <c r="L418" s="25"/>
      <c r="M418" s="25"/>
      <c r="N418" s="25"/>
    </row>
    <row r="419" spans="4:14" ht="14.25" customHeight="1">
      <c r="D419" s="25"/>
      <c r="F419" s="25"/>
      <c r="H419" s="25"/>
      <c r="J419" s="25"/>
      <c r="L419" s="25"/>
      <c r="M419" s="25"/>
      <c r="N419" s="25"/>
    </row>
    <row r="420" spans="4:14" ht="14.25" customHeight="1">
      <c r="D420" s="25"/>
      <c r="F420" s="25"/>
      <c r="H420" s="25"/>
      <c r="J420" s="25"/>
      <c r="L420" s="25"/>
      <c r="M420" s="25"/>
      <c r="N420" s="25"/>
    </row>
    <row r="421" spans="4:14" ht="14.25" customHeight="1">
      <c r="D421" s="25"/>
      <c r="F421" s="25"/>
      <c r="H421" s="25"/>
      <c r="J421" s="25"/>
      <c r="L421" s="25"/>
      <c r="M421" s="25"/>
      <c r="N421" s="25"/>
    </row>
    <row r="422" spans="4:14" ht="14.25" customHeight="1">
      <c r="D422" s="25"/>
      <c r="F422" s="25"/>
      <c r="H422" s="25"/>
      <c r="J422" s="25"/>
      <c r="L422" s="25"/>
      <c r="M422" s="25"/>
      <c r="N422" s="25"/>
    </row>
    <row r="423" spans="4:14" ht="14.25" customHeight="1">
      <c r="D423" s="25"/>
      <c r="F423" s="25"/>
      <c r="H423" s="25"/>
      <c r="J423" s="25"/>
      <c r="L423" s="25"/>
      <c r="M423" s="25"/>
      <c r="N423" s="25"/>
    </row>
    <row r="424" spans="4:14" ht="14.25" customHeight="1">
      <c r="D424" s="25"/>
      <c r="F424" s="25"/>
      <c r="H424" s="25"/>
      <c r="J424" s="25"/>
      <c r="L424" s="25"/>
      <c r="M424" s="25"/>
      <c r="N424" s="25"/>
    </row>
    <row r="425" spans="4:14" ht="14.25" customHeight="1">
      <c r="D425" s="25"/>
      <c r="F425" s="25"/>
      <c r="H425" s="25"/>
      <c r="J425" s="25"/>
      <c r="L425" s="25"/>
      <c r="M425" s="25"/>
      <c r="N425" s="25"/>
    </row>
    <row r="426" spans="4:14" ht="14.25" customHeight="1">
      <c r="D426" s="25"/>
      <c r="F426" s="25"/>
      <c r="H426" s="25"/>
      <c r="J426" s="25"/>
      <c r="L426" s="25"/>
      <c r="M426" s="25"/>
      <c r="N426" s="25"/>
    </row>
    <row r="427" spans="4:14" ht="14.25" customHeight="1">
      <c r="D427" s="25"/>
      <c r="F427" s="25"/>
      <c r="H427" s="25"/>
      <c r="J427" s="25"/>
      <c r="L427" s="25"/>
      <c r="M427" s="25"/>
      <c r="N427" s="25"/>
    </row>
    <row r="428" spans="4:14" ht="14.25" customHeight="1">
      <c r="D428" s="25"/>
      <c r="F428" s="25"/>
      <c r="H428" s="25"/>
      <c r="J428" s="25"/>
      <c r="L428" s="25"/>
      <c r="M428" s="25"/>
      <c r="N428" s="25"/>
    </row>
    <row r="429" spans="4:14" ht="14.25" customHeight="1">
      <c r="D429" s="25"/>
      <c r="F429" s="25"/>
      <c r="H429" s="25"/>
      <c r="J429" s="25"/>
      <c r="L429" s="25"/>
      <c r="M429" s="25"/>
      <c r="N429" s="25"/>
    </row>
    <row r="430" spans="4:14" ht="14.25" customHeight="1">
      <c r="D430" s="25"/>
      <c r="F430" s="25"/>
      <c r="H430" s="25"/>
      <c r="J430" s="25"/>
      <c r="L430" s="25"/>
      <c r="M430" s="25"/>
      <c r="N430" s="25"/>
    </row>
    <row r="431" spans="4:14" ht="14.25" customHeight="1">
      <c r="D431" s="25"/>
      <c r="F431" s="25"/>
      <c r="H431" s="25"/>
      <c r="J431" s="25"/>
      <c r="L431" s="25"/>
      <c r="M431" s="25"/>
      <c r="N431" s="25"/>
    </row>
    <row r="432" spans="4:14" ht="14.25" customHeight="1">
      <c r="D432" s="25"/>
      <c r="F432" s="25"/>
      <c r="H432" s="25"/>
      <c r="J432" s="25"/>
      <c r="L432" s="25"/>
      <c r="M432" s="25"/>
      <c r="N432" s="25"/>
    </row>
    <row r="433" spans="4:14" ht="14.25" customHeight="1">
      <c r="D433" s="25"/>
      <c r="F433" s="25"/>
      <c r="H433" s="25"/>
      <c r="J433" s="25"/>
      <c r="L433" s="25"/>
      <c r="M433" s="25"/>
      <c r="N433" s="25"/>
    </row>
    <row r="434" spans="4:14" ht="14.25" customHeight="1">
      <c r="D434" s="25"/>
      <c r="F434" s="25"/>
      <c r="H434" s="25"/>
      <c r="J434" s="25"/>
      <c r="L434" s="25"/>
      <c r="M434" s="25"/>
      <c r="N434" s="25"/>
    </row>
    <row r="435" spans="4:14" ht="14.25" customHeight="1">
      <c r="D435" s="25"/>
      <c r="F435" s="25"/>
      <c r="H435" s="25"/>
      <c r="J435" s="25"/>
      <c r="L435" s="25"/>
      <c r="M435" s="25"/>
      <c r="N435" s="25"/>
    </row>
    <row r="436" spans="4:14" ht="14.25" customHeight="1">
      <c r="D436" s="25"/>
      <c r="F436" s="25"/>
      <c r="H436" s="25"/>
      <c r="J436" s="25"/>
      <c r="L436" s="25"/>
      <c r="M436" s="25"/>
      <c r="N436" s="25"/>
    </row>
    <row r="437" spans="4:14" ht="14.25" customHeight="1">
      <c r="D437" s="25"/>
      <c r="F437" s="25"/>
      <c r="H437" s="25"/>
      <c r="J437" s="25"/>
      <c r="L437" s="25"/>
      <c r="M437" s="25"/>
      <c r="N437" s="25"/>
    </row>
    <row r="438" spans="4:14" ht="14.25" customHeight="1">
      <c r="D438" s="25"/>
      <c r="F438" s="25"/>
      <c r="H438" s="25"/>
      <c r="J438" s="25"/>
      <c r="L438" s="25"/>
      <c r="M438" s="25"/>
      <c r="N438" s="25"/>
    </row>
    <row r="439" spans="4:14" ht="14.25" customHeight="1">
      <c r="D439" s="25"/>
      <c r="F439" s="25"/>
      <c r="H439" s="25"/>
      <c r="J439" s="25"/>
      <c r="L439" s="25"/>
      <c r="M439" s="25"/>
      <c r="N439" s="25"/>
    </row>
    <row r="440" spans="4:14" ht="14.25" customHeight="1">
      <c r="D440" s="25"/>
      <c r="F440" s="25"/>
      <c r="H440" s="25"/>
      <c r="J440" s="25"/>
      <c r="L440" s="25"/>
      <c r="M440" s="25"/>
      <c r="N440" s="25"/>
    </row>
    <row r="441" spans="4:14" ht="14.25" customHeight="1">
      <c r="D441" s="25"/>
      <c r="F441" s="25"/>
      <c r="H441" s="25"/>
      <c r="J441" s="25"/>
      <c r="L441" s="25"/>
      <c r="M441" s="25"/>
      <c r="N441" s="25"/>
    </row>
    <row r="442" spans="4:14" ht="14.25" customHeight="1">
      <c r="D442" s="25"/>
      <c r="F442" s="25"/>
      <c r="H442" s="25"/>
      <c r="J442" s="25"/>
      <c r="L442" s="25"/>
      <c r="M442" s="25"/>
      <c r="N442" s="25"/>
    </row>
    <row r="443" spans="4:14" ht="14.25" customHeight="1">
      <c r="D443" s="25"/>
      <c r="F443" s="25"/>
      <c r="H443" s="25"/>
      <c r="J443" s="25"/>
      <c r="L443" s="25"/>
      <c r="M443" s="25"/>
      <c r="N443" s="25"/>
    </row>
    <row r="444" spans="4:14" ht="14.25" customHeight="1">
      <c r="D444" s="25"/>
      <c r="F444" s="25"/>
      <c r="H444" s="25"/>
      <c r="J444" s="25"/>
      <c r="L444" s="25"/>
      <c r="M444" s="25"/>
      <c r="N444" s="25"/>
    </row>
    <row r="445" spans="4:14" ht="14.25" customHeight="1">
      <c r="D445" s="25"/>
      <c r="F445" s="25"/>
      <c r="H445" s="25"/>
      <c r="J445" s="25"/>
      <c r="L445" s="25"/>
      <c r="M445" s="25"/>
      <c r="N445" s="25"/>
    </row>
    <row r="446" spans="4:14" ht="14.25" customHeight="1">
      <c r="D446" s="25"/>
      <c r="F446" s="25"/>
      <c r="H446" s="25"/>
      <c r="J446" s="25"/>
      <c r="L446" s="25"/>
      <c r="M446" s="25"/>
      <c r="N446" s="25"/>
    </row>
    <row r="447" spans="4:14" ht="14.25" customHeight="1">
      <c r="D447" s="25"/>
      <c r="F447" s="25"/>
      <c r="H447" s="25"/>
      <c r="J447" s="25"/>
      <c r="L447" s="25"/>
      <c r="M447" s="25"/>
      <c r="N447" s="25"/>
    </row>
    <row r="448" spans="4:14" ht="14.25" customHeight="1">
      <c r="D448" s="25"/>
      <c r="F448" s="25"/>
      <c r="H448" s="25"/>
      <c r="J448" s="25"/>
      <c r="L448" s="25"/>
      <c r="M448" s="25"/>
      <c r="N448" s="25"/>
    </row>
    <row r="449" spans="4:14" ht="14.25" customHeight="1">
      <c r="D449" s="25"/>
      <c r="F449" s="25"/>
      <c r="H449" s="25"/>
      <c r="J449" s="25"/>
      <c r="L449" s="25"/>
      <c r="M449" s="25"/>
      <c r="N449" s="25"/>
    </row>
    <row r="450" spans="4:14" ht="14.25" customHeight="1">
      <c r="D450" s="25"/>
      <c r="F450" s="25"/>
      <c r="H450" s="25"/>
      <c r="J450" s="25"/>
      <c r="L450" s="25"/>
      <c r="M450" s="25"/>
      <c r="N450" s="25"/>
    </row>
    <row r="451" spans="4:14" ht="14.25" customHeight="1">
      <c r="D451" s="25"/>
      <c r="F451" s="25"/>
      <c r="H451" s="25"/>
      <c r="J451" s="25"/>
      <c r="L451" s="25"/>
      <c r="M451" s="25"/>
      <c r="N451" s="25"/>
    </row>
    <row r="452" spans="4:14" ht="14.25" customHeight="1">
      <c r="D452" s="25"/>
      <c r="F452" s="25"/>
      <c r="H452" s="25"/>
      <c r="J452" s="25"/>
      <c r="L452" s="25"/>
      <c r="M452" s="25"/>
      <c r="N452" s="25"/>
    </row>
    <row r="453" spans="4:14" ht="14.25" customHeight="1">
      <c r="D453" s="25"/>
      <c r="F453" s="25"/>
      <c r="H453" s="25"/>
      <c r="J453" s="25"/>
      <c r="L453" s="25"/>
      <c r="M453" s="25"/>
      <c r="N453" s="25"/>
    </row>
    <row r="454" spans="4:14" ht="14.25" customHeight="1">
      <c r="D454" s="25"/>
      <c r="F454" s="25"/>
      <c r="H454" s="25"/>
      <c r="J454" s="25"/>
      <c r="L454" s="25"/>
      <c r="M454" s="25"/>
      <c r="N454" s="25"/>
    </row>
    <row r="455" spans="4:14" ht="14.25" customHeight="1">
      <c r="D455" s="25"/>
      <c r="F455" s="25"/>
      <c r="H455" s="25"/>
      <c r="J455" s="25"/>
      <c r="L455" s="25"/>
      <c r="M455" s="25"/>
      <c r="N455" s="25"/>
    </row>
    <row r="456" spans="4:14" ht="14.25" customHeight="1">
      <c r="D456" s="25"/>
      <c r="F456" s="25"/>
      <c r="H456" s="25"/>
      <c r="J456" s="25"/>
      <c r="L456" s="25"/>
      <c r="M456" s="25"/>
      <c r="N456" s="25"/>
    </row>
    <row r="457" spans="4:14" ht="14.25" customHeight="1">
      <c r="D457" s="25"/>
      <c r="F457" s="25"/>
      <c r="H457" s="25"/>
      <c r="J457" s="25"/>
      <c r="L457" s="25"/>
      <c r="M457" s="25"/>
      <c r="N457" s="25"/>
    </row>
    <row r="458" spans="4:14" ht="14.25" customHeight="1">
      <c r="D458" s="25"/>
      <c r="F458" s="25"/>
      <c r="H458" s="25"/>
      <c r="J458" s="25"/>
      <c r="L458" s="25"/>
      <c r="M458" s="25"/>
      <c r="N458" s="25"/>
    </row>
    <row r="459" spans="4:14" ht="14.25" customHeight="1">
      <c r="D459" s="25"/>
      <c r="F459" s="25"/>
      <c r="H459" s="25"/>
      <c r="J459" s="25"/>
      <c r="L459" s="25"/>
      <c r="M459" s="25"/>
      <c r="N459" s="25"/>
    </row>
    <row r="460" spans="4:14" ht="14.25" customHeight="1">
      <c r="D460" s="25"/>
      <c r="F460" s="25"/>
      <c r="H460" s="25"/>
      <c r="J460" s="25"/>
      <c r="L460" s="25"/>
      <c r="M460" s="25"/>
      <c r="N460" s="25"/>
    </row>
    <row r="461" spans="4:14" ht="14.25" customHeight="1">
      <c r="D461" s="25"/>
      <c r="F461" s="25"/>
      <c r="H461" s="25"/>
      <c r="J461" s="25"/>
      <c r="L461" s="25"/>
      <c r="M461" s="25"/>
      <c r="N461" s="25"/>
    </row>
    <row r="462" spans="4:14" ht="14.25" customHeight="1">
      <c r="D462" s="25"/>
      <c r="F462" s="25"/>
      <c r="H462" s="25"/>
      <c r="J462" s="25"/>
      <c r="L462" s="25"/>
      <c r="M462" s="25"/>
      <c r="N462" s="25"/>
    </row>
    <row r="463" spans="4:14" ht="14.25" customHeight="1">
      <c r="D463" s="25"/>
      <c r="F463" s="25"/>
      <c r="H463" s="25"/>
      <c r="J463" s="25"/>
      <c r="L463" s="25"/>
      <c r="M463" s="25"/>
      <c r="N463" s="25"/>
    </row>
    <row r="464" spans="4:14" ht="14.25" customHeight="1">
      <c r="D464" s="25"/>
      <c r="F464" s="25"/>
      <c r="H464" s="25"/>
      <c r="J464" s="25"/>
      <c r="L464" s="25"/>
      <c r="M464" s="25"/>
      <c r="N464" s="25"/>
    </row>
    <row r="465" spans="4:14" ht="14.25" customHeight="1">
      <c r="D465" s="25"/>
      <c r="F465" s="25"/>
      <c r="H465" s="25"/>
      <c r="J465" s="25"/>
      <c r="L465" s="25"/>
      <c r="M465" s="25"/>
      <c r="N465" s="25"/>
    </row>
    <row r="466" spans="4:14" ht="14.25" customHeight="1">
      <c r="D466" s="25"/>
      <c r="F466" s="25"/>
      <c r="H466" s="25"/>
      <c r="J466" s="25"/>
      <c r="L466" s="25"/>
      <c r="M466" s="25"/>
      <c r="N466" s="25"/>
    </row>
    <row r="467" spans="4:14" ht="14.25" customHeight="1">
      <c r="D467" s="25"/>
      <c r="F467" s="25"/>
      <c r="H467" s="25"/>
      <c r="J467" s="25"/>
      <c r="L467" s="25"/>
      <c r="M467" s="25"/>
      <c r="N467" s="25"/>
    </row>
    <row r="468" spans="4:14" ht="14.25" customHeight="1">
      <c r="D468" s="25"/>
      <c r="F468" s="25"/>
      <c r="H468" s="25"/>
      <c r="J468" s="25"/>
      <c r="L468" s="25"/>
      <c r="M468" s="25"/>
      <c r="N468" s="25"/>
    </row>
    <row r="469" spans="4:14" ht="14.25" customHeight="1">
      <c r="D469" s="25"/>
      <c r="F469" s="25"/>
      <c r="H469" s="25"/>
      <c r="J469" s="25"/>
      <c r="L469" s="25"/>
      <c r="M469" s="25"/>
      <c r="N469" s="25"/>
    </row>
    <row r="470" spans="4:14" ht="14.25" customHeight="1">
      <c r="D470" s="25"/>
      <c r="F470" s="25"/>
      <c r="H470" s="25"/>
      <c r="J470" s="25"/>
      <c r="L470" s="25"/>
      <c r="M470" s="25"/>
      <c r="N470" s="25"/>
    </row>
    <row r="471" spans="4:14" ht="14.25" customHeight="1">
      <c r="D471" s="25"/>
      <c r="F471" s="25"/>
      <c r="H471" s="25"/>
      <c r="J471" s="25"/>
      <c r="L471" s="25"/>
      <c r="M471" s="25"/>
      <c r="N471" s="25"/>
    </row>
    <row r="472" spans="4:14" ht="14.25" customHeight="1">
      <c r="D472" s="25"/>
      <c r="F472" s="25"/>
      <c r="H472" s="25"/>
      <c r="J472" s="25"/>
      <c r="L472" s="25"/>
      <c r="M472" s="25"/>
      <c r="N472" s="25"/>
    </row>
    <row r="473" spans="4:14" ht="14.25" customHeight="1">
      <c r="D473" s="25"/>
      <c r="F473" s="25"/>
      <c r="H473" s="25"/>
      <c r="J473" s="25"/>
      <c r="L473" s="25"/>
      <c r="M473" s="25"/>
      <c r="N473" s="25"/>
    </row>
    <row r="474" spans="4:14" ht="14.25" customHeight="1">
      <c r="D474" s="25"/>
      <c r="F474" s="25"/>
      <c r="H474" s="25"/>
      <c r="J474" s="25"/>
      <c r="L474" s="25"/>
      <c r="M474" s="25"/>
      <c r="N474" s="25"/>
    </row>
    <row r="475" spans="4:14" ht="14.25" customHeight="1">
      <c r="D475" s="25"/>
      <c r="F475" s="25"/>
      <c r="H475" s="25"/>
      <c r="J475" s="25"/>
      <c r="L475" s="25"/>
      <c r="M475" s="25"/>
      <c r="N475" s="25"/>
    </row>
    <row r="476" spans="4:14" ht="14.25" customHeight="1">
      <c r="D476" s="25"/>
      <c r="F476" s="25"/>
      <c r="H476" s="25"/>
      <c r="J476" s="25"/>
      <c r="L476" s="25"/>
      <c r="M476" s="25"/>
      <c r="N476" s="25"/>
    </row>
    <row r="477" spans="4:14" ht="14.25" customHeight="1">
      <c r="D477" s="25"/>
      <c r="F477" s="25"/>
      <c r="H477" s="25"/>
      <c r="J477" s="25"/>
      <c r="L477" s="25"/>
      <c r="M477" s="25"/>
      <c r="N477" s="25"/>
    </row>
    <row r="478" spans="4:14" ht="14.25" customHeight="1">
      <c r="D478" s="25"/>
      <c r="F478" s="25"/>
      <c r="H478" s="25"/>
      <c r="J478" s="25"/>
      <c r="L478" s="25"/>
      <c r="M478" s="25"/>
      <c r="N478" s="25"/>
    </row>
    <row r="479" spans="4:14" ht="14.25" customHeight="1">
      <c r="D479" s="25"/>
      <c r="F479" s="25"/>
      <c r="H479" s="25"/>
      <c r="J479" s="25"/>
      <c r="L479" s="25"/>
      <c r="M479" s="25"/>
      <c r="N479" s="25"/>
    </row>
    <row r="480" spans="4:14" ht="14.25" customHeight="1">
      <c r="D480" s="25"/>
      <c r="F480" s="25"/>
      <c r="H480" s="25"/>
      <c r="J480" s="25"/>
      <c r="L480" s="25"/>
      <c r="M480" s="25"/>
      <c r="N480" s="25"/>
    </row>
    <row r="481" spans="4:14" ht="14.25" customHeight="1">
      <c r="D481" s="25"/>
      <c r="F481" s="25"/>
      <c r="H481" s="25"/>
      <c r="J481" s="25"/>
      <c r="L481" s="25"/>
      <c r="M481" s="25"/>
      <c r="N481" s="25"/>
    </row>
    <row r="482" spans="4:14" ht="14.25" customHeight="1">
      <c r="D482" s="25"/>
      <c r="F482" s="25"/>
      <c r="H482" s="25"/>
      <c r="J482" s="25"/>
      <c r="L482" s="25"/>
      <c r="M482" s="25"/>
      <c r="N482" s="25"/>
    </row>
    <row r="483" spans="4:14" ht="14.25" customHeight="1">
      <c r="D483" s="25"/>
      <c r="F483" s="25"/>
      <c r="H483" s="25"/>
      <c r="J483" s="25"/>
      <c r="L483" s="25"/>
      <c r="M483" s="25"/>
      <c r="N483" s="25"/>
    </row>
    <row r="484" spans="4:14" ht="14.25" customHeight="1">
      <c r="D484" s="25"/>
      <c r="F484" s="25"/>
      <c r="H484" s="25"/>
      <c r="J484" s="25"/>
      <c r="L484" s="25"/>
      <c r="M484" s="25"/>
      <c r="N484" s="25"/>
    </row>
    <row r="485" spans="4:14" ht="14.25" customHeight="1">
      <c r="D485" s="25"/>
      <c r="F485" s="25"/>
      <c r="H485" s="25"/>
      <c r="J485" s="25"/>
      <c r="L485" s="25"/>
      <c r="M485" s="25"/>
      <c r="N485" s="25"/>
    </row>
    <row r="486" spans="4:14" ht="14.25" customHeight="1">
      <c r="D486" s="25"/>
      <c r="F486" s="25"/>
      <c r="H486" s="25"/>
      <c r="J486" s="25"/>
      <c r="L486" s="25"/>
      <c r="M486" s="25"/>
      <c r="N486" s="25"/>
    </row>
    <row r="487" spans="4:14" ht="14.25" customHeight="1">
      <c r="D487" s="25"/>
      <c r="F487" s="25"/>
      <c r="H487" s="25"/>
      <c r="J487" s="25"/>
      <c r="L487" s="25"/>
      <c r="M487" s="25"/>
      <c r="N487" s="25"/>
    </row>
    <row r="488" spans="4:14" ht="14.25" customHeight="1">
      <c r="D488" s="25"/>
      <c r="F488" s="25"/>
      <c r="H488" s="25"/>
      <c r="J488" s="25"/>
      <c r="L488" s="25"/>
      <c r="M488" s="25"/>
      <c r="N488" s="25"/>
    </row>
    <row r="489" spans="4:14" ht="14.25" customHeight="1">
      <c r="D489" s="25"/>
      <c r="F489" s="25"/>
      <c r="H489" s="25"/>
      <c r="J489" s="25"/>
      <c r="L489" s="25"/>
      <c r="M489" s="25"/>
      <c r="N489" s="25"/>
    </row>
    <row r="490" spans="4:14" ht="14.25" customHeight="1">
      <c r="D490" s="25"/>
      <c r="F490" s="25"/>
      <c r="H490" s="25"/>
      <c r="J490" s="25"/>
      <c r="L490" s="25"/>
      <c r="M490" s="25"/>
      <c r="N490" s="25"/>
    </row>
    <row r="491" spans="4:14" ht="14.25" customHeight="1">
      <c r="D491" s="25"/>
      <c r="F491" s="25"/>
      <c r="H491" s="25"/>
      <c r="J491" s="25"/>
      <c r="L491" s="25"/>
      <c r="M491" s="25"/>
      <c r="N491" s="25"/>
    </row>
    <row r="492" spans="4:14" ht="14.25" customHeight="1">
      <c r="D492" s="25"/>
      <c r="F492" s="25"/>
      <c r="H492" s="25"/>
      <c r="J492" s="25"/>
      <c r="L492" s="25"/>
      <c r="M492" s="25"/>
      <c r="N492" s="25"/>
    </row>
    <row r="493" spans="4:14" ht="14.25" customHeight="1">
      <c r="D493" s="25"/>
      <c r="F493" s="25"/>
      <c r="H493" s="25"/>
      <c r="J493" s="25"/>
      <c r="L493" s="25"/>
      <c r="M493" s="25"/>
      <c r="N493" s="25"/>
    </row>
    <row r="494" spans="4:14" ht="14.25" customHeight="1">
      <c r="D494" s="25"/>
      <c r="F494" s="25"/>
      <c r="H494" s="25"/>
      <c r="J494" s="25"/>
      <c r="L494" s="25"/>
      <c r="M494" s="25"/>
      <c r="N494" s="25"/>
    </row>
    <row r="495" spans="4:14" ht="14.25" customHeight="1">
      <c r="D495" s="25"/>
      <c r="F495" s="25"/>
      <c r="H495" s="25"/>
      <c r="J495" s="25"/>
      <c r="L495" s="25"/>
      <c r="M495" s="25"/>
      <c r="N495" s="25"/>
    </row>
    <row r="496" spans="4:14" ht="14.25" customHeight="1">
      <c r="D496" s="25"/>
      <c r="F496" s="25"/>
      <c r="H496" s="25"/>
      <c r="J496" s="25"/>
      <c r="L496" s="25"/>
      <c r="M496" s="25"/>
      <c r="N496" s="25"/>
    </row>
    <row r="497" spans="4:14" ht="14.25" customHeight="1">
      <c r="D497" s="25"/>
      <c r="F497" s="25"/>
      <c r="H497" s="25"/>
      <c r="J497" s="25"/>
      <c r="L497" s="25"/>
      <c r="M497" s="25"/>
      <c r="N497" s="25"/>
    </row>
    <row r="498" spans="4:14" ht="14.25" customHeight="1">
      <c r="D498" s="25"/>
      <c r="F498" s="25"/>
      <c r="H498" s="25"/>
      <c r="J498" s="25"/>
      <c r="L498" s="25"/>
      <c r="M498" s="25"/>
      <c r="N498" s="25"/>
    </row>
    <row r="499" spans="4:14" ht="14.25" customHeight="1">
      <c r="D499" s="25"/>
      <c r="F499" s="25"/>
      <c r="H499" s="25"/>
      <c r="J499" s="25"/>
      <c r="L499" s="25"/>
      <c r="M499" s="25"/>
      <c r="N499" s="25"/>
    </row>
    <row r="500" spans="4:14" ht="14.25" customHeight="1">
      <c r="D500" s="25"/>
      <c r="F500" s="25"/>
      <c r="H500" s="25"/>
      <c r="J500" s="25"/>
      <c r="L500" s="25"/>
      <c r="M500" s="25"/>
      <c r="N500" s="25"/>
    </row>
    <row r="501" spans="4:14" ht="14.25" customHeight="1">
      <c r="D501" s="25"/>
      <c r="F501" s="25"/>
      <c r="H501" s="25"/>
      <c r="J501" s="25"/>
      <c r="L501" s="25"/>
      <c r="M501" s="25"/>
      <c r="N501" s="25"/>
    </row>
    <row r="502" spans="4:14" ht="14.25" customHeight="1">
      <c r="D502" s="25"/>
      <c r="F502" s="25"/>
      <c r="H502" s="25"/>
      <c r="J502" s="25"/>
      <c r="L502" s="25"/>
      <c r="M502" s="25"/>
      <c r="N502" s="25"/>
    </row>
    <row r="503" spans="4:14" ht="14.25" customHeight="1">
      <c r="D503" s="25"/>
      <c r="F503" s="25"/>
      <c r="H503" s="25"/>
      <c r="J503" s="25"/>
      <c r="L503" s="25"/>
      <c r="M503" s="25"/>
      <c r="N503" s="25"/>
    </row>
    <row r="504" spans="4:14" ht="14.25" customHeight="1">
      <c r="D504" s="25"/>
      <c r="F504" s="25"/>
      <c r="H504" s="25"/>
      <c r="J504" s="25"/>
      <c r="L504" s="25"/>
      <c r="M504" s="25"/>
      <c r="N504" s="25"/>
    </row>
    <row r="505" spans="4:14" ht="14.25" customHeight="1">
      <c r="D505" s="25"/>
      <c r="F505" s="25"/>
      <c r="H505" s="25"/>
      <c r="J505" s="25"/>
      <c r="L505" s="25"/>
      <c r="M505" s="25"/>
      <c r="N505" s="25"/>
    </row>
    <row r="506" spans="4:14" ht="14.25" customHeight="1">
      <c r="D506" s="25"/>
      <c r="F506" s="25"/>
      <c r="H506" s="25"/>
      <c r="J506" s="25"/>
      <c r="L506" s="25"/>
      <c r="M506" s="25"/>
      <c r="N506" s="25"/>
    </row>
    <row r="507" spans="4:14" ht="14.25" customHeight="1">
      <c r="D507" s="25"/>
      <c r="F507" s="25"/>
      <c r="H507" s="25"/>
      <c r="J507" s="25"/>
      <c r="L507" s="25"/>
      <c r="M507" s="25"/>
      <c r="N507" s="25"/>
    </row>
    <row r="508" spans="4:14" ht="14.25" customHeight="1">
      <c r="D508" s="25"/>
      <c r="F508" s="25"/>
      <c r="H508" s="25"/>
      <c r="J508" s="25"/>
      <c r="L508" s="25"/>
      <c r="M508" s="25"/>
      <c r="N508" s="25"/>
    </row>
    <row r="509" spans="4:14" ht="14.25" customHeight="1">
      <c r="D509" s="25"/>
      <c r="F509" s="25"/>
      <c r="H509" s="25"/>
      <c r="J509" s="25"/>
      <c r="L509" s="25"/>
      <c r="M509" s="25"/>
      <c r="N509" s="25"/>
    </row>
    <row r="510" spans="4:14" ht="14.25" customHeight="1">
      <c r="D510" s="25"/>
      <c r="F510" s="25"/>
      <c r="H510" s="25"/>
      <c r="J510" s="25"/>
      <c r="L510" s="25"/>
      <c r="M510" s="25"/>
      <c r="N510" s="25"/>
    </row>
    <row r="511" spans="4:14" ht="14.25" customHeight="1">
      <c r="D511" s="25"/>
      <c r="F511" s="25"/>
      <c r="H511" s="25"/>
      <c r="J511" s="25"/>
      <c r="L511" s="25"/>
      <c r="M511" s="25"/>
      <c r="N511" s="25"/>
    </row>
    <row r="512" spans="4:14" ht="14.25" customHeight="1">
      <c r="D512" s="25"/>
      <c r="F512" s="25"/>
      <c r="H512" s="25"/>
      <c r="J512" s="25"/>
      <c r="L512" s="25"/>
      <c r="M512" s="25"/>
      <c r="N512" s="25"/>
    </row>
    <row r="513" spans="4:14" ht="14.25" customHeight="1">
      <c r="D513" s="25"/>
      <c r="F513" s="25"/>
      <c r="H513" s="25"/>
      <c r="J513" s="25"/>
      <c r="L513" s="25"/>
      <c r="M513" s="25"/>
      <c r="N513" s="25"/>
    </row>
    <row r="514" spans="4:14" ht="14.25" customHeight="1">
      <c r="D514" s="25"/>
      <c r="F514" s="25"/>
      <c r="H514" s="25"/>
      <c r="J514" s="25"/>
      <c r="L514" s="25"/>
      <c r="M514" s="25"/>
      <c r="N514" s="25"/>
    </row>
    <row r="515" spans="4:14" ht="14.25" customHeight="1">
      <c r="D515" s="25"/>
      <c r="F515" s="25"/>
      <c r="H515" s="25"/>
      <c r="J515" s="25"/>
      <c r="L515" s="25"/>
      <c r="M515" s="25"/>
      <c r="N515" s="25"/>
    </row>
    <row r="516" spans="4:14" ht="14.25" customHeight="1">
      <c r="D516" s="25"/>
      <c r="F516" s="25"/>
      <c r="H516" s="25"/>
      <c r="J516" s="25"/>
      <c r="L516" s="25"/>
      <c r="M516" s="25"/>
      <c r="N516" s="25"/>
    </row>
    <row r="517" spans="4:14" ht="14.25" customHeight="1">
      <c r="D517" s="25"/>
      <c r="F517" s="25"/>
      <c r="H517" s="25"/>
      <c r="J517" s="25"/>
      <c r="L517" s="25"/>
      <c r="M517" s="25"/>
      <c r="N517" s="25"/>
    </row>
    <row r="518" spans="4:14" ht="14.25" customHeight="1">
      <c r="D518" s="25"/>
      <c r="F518" s="25"/>
      <c r="H518" s="25"/>
      <c r="J518" s="25"/>
      <c r="L518" s="25"/>
      <c r="M518" s="25"/>
      <c r="N518" s="25"/>
    </row>
    <row r="519" spans="4:14" ht="14.25" customHeight="1">
      <c r="D519" s="25"/>
      <c r="F519" s="25"/>
      <c r="H519" s="25"/>
      <c r="J519" s="25"/>
      <c r="L519" s="25"/>
      <c r="M519" s="25"/>
      <c r="N519" s="25"/>
    </row>
    <row r="520" spans="4:14" ht="14.25" customHeight="1">
      <c r="D520" s="25"/>
      <c r="F520" s="25"/>
      <c r="H520" s="25"/>
      <c r="J520" s="25"/>
      <c r="L520" s="25"/>
      <c r="M520" s="25"/>
      <c r="N520" s="25"/>
    </row>
    <row r="521" spans="4:14" ht="14.25" customHeight="1">
      <c r="D521" s="25"/>
      <c r="F521" s="25"/>
      <c r="H521" s="25"/>
      <c r="J521" s="25"/>
      <c r="L521" s="25"/>
      <c r="M521" s="25"/>
      <c r="N521" s="25"/>
    </row>
    <row r="522" spans="4:14" ht="14.25" customHeight="1">
      <c r="D522" s="25"/>
      <c r="F522" s="25"/>
      <c r="H522" s="25"/>
      <c r="J522" s="25"/>
      <c r="L522" s="25"/>
      <c r="M522" s="25"/>
      <c r="N522" s="25"/>
    </row>
    <row r="523" spans="4:14" ht="14.25" customHeight="1">
      <c r="D523" s="25"/>
      <c r="F523" s="25"/>
      <c r="H523" s="25"/>
      <c r="J523" s="25"/>
      <c r="L523" s="25"/>
      <c r="M523" s="25"/>
      <c r="N523" s="25"/>
    </row>
    <row r="524" spans="4:14" ht="14.25" customHeight="1">
      <c r="D524" s="25"/>
      <c r="F524" s="25"/>
      <c r="H524" s="25"/>
      <c r="J524" s="25"/>
      <c r="L524" s="25"/>
      <c r="M524" s="25"/>
      <c r="N524" s="25"/>
    </row>
    <row r="525" spans="4:14" ht="14.25" customHeight="1">
      <c r="D525" s="25"/>
      <c r="F525" s="25"/>
      <c r="H525" s="25"/>
      <c r="J525" s="25"/>
      <c r="L525" s="25"/>
      <c r="M525" s="25"/>
      <c r="N525" s="25"/>
    </row>
    <row r="526" spans="4:14" ht="14.25" customHeight="1">
      <c r="D526" s="25"/>
      <c r="F526" s="25"/>
      <c r="H526" s="25"/>
      <c r="J526" s="25"/>
      <c r="L526" s="25"/>
      <c r="M526" s="25"/>
      <c r="N526" s="25"/>
    </row>
    <row r="527" spans="4:14" ht="14.25" customHeight="1">
      <c r="D527" s="25"/>
      <c r="F527" s="25"/>
      <c r="H527" s="25"/>
      <c r="J527" s="25"/>
      <c r="L527" s="25"/>
      <c r="M527" s="25"/>
      <c r="N527" s="25"/>
    </row>
    <row r="528" spans="4:14" ht="14.25" customHeight="1">
      <c r="D528" s="25"/>
      <c r="F528" s="25"/>
      <c r="H528" s="25"/>
      <c r="J528" s="25"/>
      <c r="L528" s="25"/>
      <c r="M528" s="25"/>
      <c r="N528" s="25"/>
    </row>
    <row r="529" spans="4:14" ht="14.25" customHeight="1">
      <c r="D529" s="25"/>
      <c r="F529" s="25"/>
      <c r="H529" s="25"/>
      <c r="J529" s="25"/>
      <c r="L529" s="25"/>
      <c r="M529" s="25"/>
      <c r="N529" s="25"/>
    </row>
    <row r="530" spans="4:14" ht="14.25" customHeight="1">
      <c r="D530" s="25"/>
      <c r="F530" s="25"/>
      <c r="H530" s="25"/>
      <c r="J530" s="25"/>
      <c r="L530" s="25"/>
      <c r="M530" s="25"/>
      <c r="N530" s="25"/>
    </row>
    <row r="531" spans="4:14" ht="14.25" customHeight="1">
      <c r="D531" s="25"/>
      <c r="F531" s="25"/>
      <c r="H531" s="25"/>
      <c r="J531" s="25"/>
      <c r="L531" s="25"/>
      <c r="M531" s="25"/>
      <c r="N531" s="25"/>
    </row>
    <row r="532" spans="4:14" ht="14.25" customHeight="1">
      <c r="D532" s="25"/>
      <c r="F532" s="25"/>
      <c r="H532" s="25"/>
      <c r="J532" s="25"/>
      <c r="L532" s="25"/>
      <c r="M532" s="25"/>
      <c r="N532" s="25"/>
    </row>
    <row r="533" spans="4:14" ht="14.25" customHeight="1">
      <c r="D533" s="25"/>
      <c r="F533" s="25"/>
      <c r="H533" s="25"/>
      <c r="J533" s="25"/>
      <c r="L533" s="25"/>
      <c r="M533" s="25"/>
      <c r="N533" s="25"/>
    </row>
    <row r="534" spans="4:14" ht="14.25" customHeight="1">
      <c r="D534" s="25"/>
      <c r="F534" s="25"/>
      <c r="H534" s="25"/>
      <c r="J534" s="25"/>
      <c r="L534" s="25"/>
      <c r="M534" s="25"/>
      <c r="N534" s="25"/>
    </row>
    <row r="535" spans="4:14" ht="14.25" customHeight="1">
      <c r="D535" s="25"/>
      <c r="F535" s="25"/>
      <c r="H535" s="25"/>
      <c r="J535" s="25"/>
      <c r="L535" s="25"/>
      <c r="M535" s="25"/>
      <c r="N535" s="25"/>
    </row>
    <row r="536" spans="4:14" ht="14.25" customHeight="1">
      <c r="D536" s="25"/>
      <c r="F536" s="25"/>
      <c r="H536" s="25"/>
      <c r="J536" s="25"/>
      <c r="L536" s="25"/>
      <c r="M536" s="25"/>
      <c r="N536" s="25"/>
    </row>
    <row r="537" spans="4:14" ht="14.25" customHeight="1">
      <c r="D537" s="25"/>
      <c r="F537" s="25"/>
      <c r="H537" s="25"/>
      <c r="J537" s="25"/>
      <c r="L537" s="25"/>
      <c r="M537" s="25"/>
      <c r="N537" s="25"/>
    </row>
    <row r="538" spans="4:14" ht="14.25" customHeight="1">
      <c r="D538" s="25"/>
      <c r="F538" s="25"/>
      <c r="H538" s="25"/>
      <c r="J538" s="25"/>
      <c r="L538" s="25"/>
      <c r="M538" s="25"/>
      <c r="N538" s="25"/>
    </row>
    <row r="539" spans="4:14" ht="14.25" customHeight="1">
      <c r="D539" s="25"/>
      <c r="F539" s="25"/>
      <c r="H539" s="25"/>
      <c r="J539" s="25"/>
      <c r="L539" s="25"/>
      <c r="M539" s="25"/>
      <c r="N539" s="25"/>
    </row>
    <row r="540" spans="4:14" ht="14.25" customHeight="1">
      <c r="D540" s="25"/>
      <c r="F540" s="25"/>
      <c r="H540" s="25"/>
      <c r="J540" s="25"/>
      <c r="L540" s="25"/>
      <c r="M540" s="25"/>
      <c r="N540" s="25"/>
    </row>
    <row r="541" spans="4:14" ht="14.25" customHeight="1">
      <c r="D541" s="25"/>
      <c r="F541" s="25"/>
      <c r="H541" s="25"/>
      <c r="J541" s="25"/>
      <c r="L541" s="25"/>
      <c r="M541" s="25"/>
      <c r="N541" s="25"/>
    </row>
    <row r="542" spans="4:14" ht="14.25" customHeight="1">
      <c r="D542" s="25"/>
      <c r="F542" s="25"/>
      <c r="H542" s="25"/>
      <c r="J542" s="25"/>
      <c r="L542" s="25"/>
      <c r="M542" s="25"/>
      <c r="N542" s="25"/>
    </row>
    <row r="543" spans="4:14" ht="14.25" customHeight="1">
      <c r="D543" s="25"/>
      <c r="F543" s="25"/>
      <c r="H543" s="25"/>
      <c r="J543" s="25"/>
      <c r="L543" s="25"/>
      <c r="M543" s="25"/>
      <c r="N543" s="25"/>
    </row>
    <row r="544" spans="4:14" ht="14.25" customHeight="1">
      <c r="D544" s="25"/>
      <c r="F544" s="25"/>
      <c r="H544" s="25"/>
      <c r="J544" s="25"/>
      <c r="L544" s="25"/>
      <c r="M544" s="25"/>
      <c r="N544" s="25"/>
    </row>
    <row r="545" spans="4:14" ht="14.25" customHeight="1">
      <c r="D545" s="25"/>
      <c r="F545" s="25"/>
      <c r="H545" s="25"/>
      <c r="J545" s="25"/>
      <c r="L545" s="25"/>
      <c r="M545" s="25"/>
      <c r="N545" s="25"/>
    </row>
    <row r="546" spans="4:14" ht="14.25" customHeight="1">
      <c r="D546" s="25"/>
      <c r="F546" s="25"/>
      <c r="H546" s="25"/>
      <c r="J546" s="25"/>
      <c r="L546" s="25"/>
      <c r="M546" s="25"/>
      <c r="N546" s="25"/>
    </row>
    <row r="547" spans="4:14" ht="14.25" customHeight="1">
      <c r="D547" s="25"/>
      <c r="F547" s="25"/>
      <c r="H547" s="25"/>
      <c r="J547" s="25"/>
      <c r="L547" s="25"/>
      <c r="M547" s="25"/>
      <c r="N547" s="25"/>
    </row>
    <row r="548" spans="4:14" ht="14.25" customHeight="1">
      <c r="D548" s="25"/>
      <c r="F548" s="25"/>
      <c r="H548" s="25"/>
      <c r="J548" s="25"/>
      <c r="L548" s="25"/>
      <c r="M548" s="25"/>
      <c r="N548" s="25"/>
    </row>
    <row r="549" spans="4:14" ht="14.25" customHeight="1">
      <c r="D549" s="25"/>
      <c r="F549" s="25"/>
      <c r="H549" s="25"/>
      <c r="J549" s="25"/>
      <c r="L549" s="25"/>
      <c r="M549" s="25"/>
      <c r="N549" s="25"/>
    </row>
    <row r="550" spans="4:14" ht="14.25" customHeight="1">
      <c r="D550" s="25"/>
      <c r="F550" s="25"/>
      <c r="H550" s="25"/>
      <c r="J550" s="25"/>
      <c r="L550" s="25"/>
      <c r="M550" s="25"/>
      <c r="N550" s="25"/>
    </row>
    <row r="551" spans="4:14" ht="14.25" customHeight="1">
      <c r="D551" s="25"/>
      <c r="F551" s="25"/>
      <c r="H551" s="25"/>
      <c r="J551" s="25"/>
      <c r="L551" s="25"/>
      <c r="M551" s="25"/>
      <c r="N551" s="25"/>
    </row>
    <row r="552" spans="4:14" ht="14.25" customHeight="1">
      <c r="D552" s="25"/>
      <c r="F552" s="25"/>
      <c r="H552" s="25"/>
      <c r="J552" s="25"/>
      <c r="L552" s="25"/>
      <c r="M552" s="25"/>
      <c r="N552" s="25"/>
    </row>
    <row r="553" spans="4:14" ht="14.25" customHeight="1">
      <c r="D553" s="25"/>
      <c r="F553" s="25"/>
      <c r="H553" s="25"/>
      <c r="J553" s="25"/>
      <c r="L553" s="25"/>
      <c r="M553" s="25"/>
      <c r="N553" s="25"/>
    </row>
    <row r="554" spans="4:14" ht="14.25" customHeight="1">
      <c r="D554" s="25"/>
      <c r="F554" s="25"/>
      <c r="H554" s="25"/>
      <c r="J554" s="25"/>
      <c r="L554" s="25"/>
      <c r="M554" s="25"/>
      <c r="N554" s="25"/>
    </row>
    <row r="555" spans="4:14" ht="14.25" customHeight="1">
      <c r="D555" s="25"/>
      <c r="F555" s="25"/>
      <c r="H555" s="25"/>
      <c r="J555" s="25"/>
      <c r="L555" s="25"/>
      <c r="M555" s="25"/>
      <c r="N555" s="25"/>
    </row>
    <row r="556" spans="4:14" ht="14.25" customHeight="1">
      <c r="D556" s="25"/>
      <c r="F556" s="25"/>
      <c r="H556" s="25"/>
      <c r="J556" s="25"/>
      <c r="L556" s="25"/>
      <c r="M556" s="25"/>
      <c r="N556" s="25"/>
    </row>
    <row r="557" spans="4:14" ht="14.25" customHeight="1">
      <c r="D557" s="25"/>
      <c r="F557" s="25"/>
      <c r="H557" s="25"/>
      <c r="J557" s="25"/>
      <c r="L557" s="25"/>
      <c r="M557" s="25"/>
      <c r="N557" s="25"/>
    </row>
    <row r="558" spans="4:14" ht="14.25" customHeight="1">
      <c r="D558" s="25"/>
      <c r="F558" s="25"/>
      <c r="H558" s="25"/>
      <c r="J558" s="25"/>
      <c r="L558" s="25"/>
      <c r="M558" s="25"/>
      <c r="N558" s="25"/>
    </row>
    <row r="559" spans="4:14" ht="14.25" customHeight="1">
      <c r="D559" s="25"/>
      <c r="F559" s="25"/>
      <c r="H559" s="25"/>
      <c r="J559" s="25"/>
      <c r="L559" s="25"/>
      <c r="M559" s="25"/>
      <c r="N559" s="25"/>
    </row>
    <row r="560" spans="4:14" ht="14.25" customHeight="1">
      <c r="D560" s="25"/>
      <c r="F560" s="25"/>
      <c r="H560" s="25"/>
      <c r="J560" s="25"/>
      <c r="L560" s="25"/>
      <c r="M560" s="25"/>
      <c r="N560" s="25"/>
    </row>
    <row r="561" spans="4:14" ht="14.25" customHeight="1">
      <c r="D561" s="25"/>
      <c r="F561" s="25"/>
      <c r="H561" s="25"/>
      <c r="J561" s="25"/>
      <c r="L561" s="25"/>
      <c r="M561" s="25"/>
      <c r="N561" s="25"/>
    </row>
    <row r="562" spans="4:14" ht="14.25" customHeight="1">
      <c r="D562" s="25"/>
      <c r="F562" s="25"/>
      <c r="H562" s="25"/>
      <c r="J562" s="25"/>
      <c r="L562" s="25"/>
      <c r="M562" s="25"/>
      <c r="N562" s="25"/>
    </row>
    <row r="563" spans="4:14" ht="14.25" customHeight="1">
      <c r="D563" s="25"/>
      <c r="F563" s="25"/>
      <c r="H563" s="25"/>
      <c r="J563" s="25"/>
      <c r="L563" s="25"/>
      <c r="M563" s="25"/>
      <c r="N563" s="25"/>
    </row>
    <row r="564" spans="4:14" ht="14.25" customHeight="1">
      <c r="D564" s="25"/>
      <c r="F564" s="25"/>
      <c r="H564" s="25"/>
      <c r="J564" s="25"/>
      <c r="L564" s="25"/>
      <c r="M564" s="25"/>
      <c r="N564" s="25"/>
    </row>
    <row r="565" spans="4:14" ht="14.25" customHeight="1">
      <c r="D565" s="25"/>
      <c r="F565" s="25"/>
      <c r="H565" s="25"/>
      <c r="J565" s="25"/>
      <c r="L565" s="25"/>
      <c r="M565" s="25"/>
      <c r="N565" s="25"/>
    </row>
    <row r="566" spans="4:14" ht="14.25" customHeight="1">
      <c r="D566" s="25"/>
      <c r="F566" s="25"/>
      <c r="H566" s="25"/>
      <c r="J566" s="25"/>
      <c r="L566" s="25"/>
      <c r="M566" s="25"/>
      <c r="N566" s="25"/>
    </row>
    <row r="567" spans="4:14" ht="14.25" customHeight="1">
      <c r="D567" s="25"/>
      <c r="F567" s="25"/>
      <c r="H567" s="25"/>
      <c r="J567" s="25"/>
      <c r="L567" s="25"/>
      <c r="M567" s="25"/>
      <c r="N567" s="25"/>
    </row>
    <row r="568" spans="4:14" ht="14.25" customHeight="1">
      <c r="D568" s="25"/>
      <c r="F568" s="25"/>
      <c r="H568" s="25"/>
      <c r="J568" s="25"/>
      <c r="L568" s="25"/>
      <c r="M568" s="25"/>
      <c r="N568" s="25"/>
    </row>
    <row r="569" spans="4:14" ht="14.25" customHeight="1">
      <c r="D569" s="25"/>
      <c r="F569" s="25"/>
      <c r="H569" s="25"/>
      <c r="J569" s="25"/>
      <c r="L569" s="25"/>
      <c r="M569" s="25"/>
      <c r="N569" s="25"/>
    </row>
    <row r="570" spans="4:14" ht="14.25" customHeight="1">
      <c r="D570" s="25"/>
      <c r="F570" s="25"/>
      <c r="H570" s="25"/>
      <c r="J570" s="25"/>
      <c r="L570" s="25"/>
      <c r="M570" s="25"/>
      <c r="N570" s="25"/>
    </row>
    <row r="571" spans="4:14" ht="14.25" customHeight="1">
      <c r="D571" s="25"/>
      <c r="F571" s="25"/>
      <c r="H571" s="25"/>
      <c r="J571" s="25"/>
      <c r="L571" s="25"/>
      <c r="M571" s="25"/>
      <c r="N571" s="25"/>
    </row>
    <row r="572" spans="4:14" ht="14.25" customHeight="1">
      <c r="D572" s="25"/>
      <c r="F572" s="25"/>
      <c r="H572" s="25"/>
      <c r="J572" s="25"/>
      <c r="L572" s="25"/>
      <c r="M572" s="25"/>
      <c r="N572" s="25"/>
    </row>
    <row r="573" spans="4:14" ht="14.25" customHeight="1">
      <c r="D573" s="25"/>
      <c r="F573" s="25"/>
      <c r="H573" s="25"/>
      <c r="J573" s="25"/>
      <c r="L573" s="25"/>
      <c r="M573" s="25"/>
      <c r="N573" s="25"/>
    </row>
    <row r="574" spans="4:14" ht="14.25" customHeight="1">
      <c r="D574" s="25"/>
      <c r="F574" s="25"/>
      <c r="H574" s="25"/>
      <c r="J574" s="25"/>
      <c r="L574" s="25"/>
      <c r="M574" s="25"/>
      <c r="N574" s="25"/>
    </row>
    <row r="575" spans="4:14" ht="14.25" customHeight="1">
      <c r="D575" s="25"/>
      <c r="F575" s="25"/>
      <c r="H575" s="25"/>
      <c r="J575" s="25"/>
      <c r="L575" s="25"/>
      <c r="M575" s="25"/>
      <c r="N575" s="25"/>
    </row>
    <row r="576" spans="4:14" ht="14.25" customHeight="1">
      <c r="D576" s="25"/>
      <c r="F576" s="25"/>
      <c r="H576" s="25"/>
      <c r="J576" s="25"/>
      <c r="L576" s="25"/>
      <c r="M576" s="25"/>
      <c r="N576" s="25"/>
    </row>
    <row r="577" spans="4:14" ht="14.25" customHeight="1">
      <c r="D577" s="25"/>
      <c r="F577" s="25"/>
      <c r="H577" s="25"/>
      <c r="J577" s="25"/>
      <c r="L577" s="25"/>
      <c r="M577" s="25"/>
      <c r="N577" s="25"/>
    </row>
    <row r="578" spans="4:14" ht="14.25" customHeight="1">
      <c r="D578" s="25"/>
      <c r="F578" s="25"/>
      <c r="H578" s="25"/>
      <c r="J578" s="25"/>
      <c r="L578" s="25"/>
      <c r="M578" s="25"/>
      <c r="N578" s="25"/>
    </row>
    <row r="579" spans="4:14" ht="14.25" customHeight="1">
      <c r="D579" s="25"/>
      <c r="F579" s="25"/>
      <c r="H579" s="25"/>
      <c r="J579" s="25"/>
      <c r="L579" s="25"/>
      <c r="M579" s="25"/>
      <c r="N579" s="25"/>
    </row>
    <row r="580" spans="4:14" ht="14.25" customHeight="1">
      <c r="D580" s="25"/>
      <c r="F580" s="25"/>
      <c r="H580" s="25"/>
      <c r="J580" s="25"/>
      <c r="L580" s="25"/>
      <c r="M580" s="25"/>
      <c r="N580" s="25"/>
    </row>
    <row r="581" spans="4:14" ht="14.25" customHeight="1">
      <c r="D581" s="25"/>
      <c r="F581" s="25"/>
      <c r="H581" s="25"/>
      <c r="J581" s="25"/>
      <c r="L581" s="25"/>
      <c r="M581" s="25"/>
      <c r="N581" s="25"/>
    </row>
    <row r="582" spans="4:14" ht="14.25" customHeight="1">
      <c r="D582" s="25"/>
      <c r="F582" s="25"/>
      <c r="H582" s="25"/>
      <c r="J582" s="25"/>
      <c r="L582" s="25"/>
      <c r="M582" s="25"/>
      <c r="N582" s="25"/>
    </row>
    <row r="583" spans="4:14" ht="14.25" customHeight="1">
      <c r="D583" s="25"/>
      <c r="F583" s="25"/>
      <c r="H583" s="25"/>
      <c r="J583" s="25"/>
      <c r="L583" s="25"/>
      <c r="M583" s="25"/>
      <c r="N583" s="25"/>
    </row>
    <row r="584" spans="4:14" ht="14.25" customHeight="1">
      <c r="D584" s="25"/>
      <c r="F584" s="25"/>
      <c r="H584" s="25"/>
      <c r="J584" s="25"/>
      <c r="L584" s="25"/>
      <c r="M584" s="25"/>
      <c r="N584" s="25"/>
    </row>
    <row r="585" spans="4:14" ht="14.25" customHeight="1">
      <c r="D585" s="25"/>
      <c r="F585" s="25"/>
      <c r="H585" s="25"/>
      <c r="J585" s="25"/>
      <c r="L585" s="25"/>
      <c r="M585" s="25"/>
      <c r="N585" s="25"/>
    </row>
    <row r="586" spans="4:14" ht="14.25" customHeight="1">
      <c r="D586" s="25"/>
      <c r="F586" s="25"/>
      <c r="H586" s="25"/>
      <c r="J586" s="25"/>
      <c r="L586" s="25"/>
      <c r="M586" s="25"/>
      <c r="N586" s="25"/>
    </row>
    <row r="587" spans="4:14" ht="14.25" customHeight="1">
      <c r="D587" s="25"/>
      <c r="F587" s="25"/>
      <c r="H587" s="25"/>
      <c r="J587" s="25"/>
      <c r="L587" s="25"/>
      <c r="M587" s="25"/>
      <c r="N587" s="25"/>
    </row>
    <row r="588" spans="4:14" ht="14.25" customHeight="1">
      <c r="D588" s="25"/>
      <c r="F588" s="25"/>
      <c r="H588" s="25"/>
      <c r="J588" s="25"/>
      <c r="L588" s="25"/>
      <c r="M588" s="25"/>
      <c r="N588" s="25"/>
    </row>
    <row r="589" spans="4:14" ht="14.25" customHeight="1">
      <c r="D589" s="25"/>
      <c r="F589" s="25"/>
      <c r="H589" s="25"/>
      <c r="J589" s="25"/>
      <c r="L589" s="25"/>
      <c r="M589" s="25"/>
      <c r="N589" s="25"/>
    </row>
    <row r="590" spans="4:14" ht="14.25" customHeight="1">
      <c r="D590" s="25"/>
      <c r="F590" s="25"/>
      <c r="H590" s="25"/>
      <c r="J590" s="25"/>
      <c r="L590" s="25"/>
      <c r="M590" s="25"/>
      <c r="N590" s="25"/>
    </row>
    <row r="591" spans="4:14" ht="14.25" customHeight="1">
      <c r="D591" s="25"/>
      <c r="F591" s="25"/>
      <c r="H591" s="25"/>
      <c r="J591" s="25"/>
      <c r="L591" s="25"/>
      <c r="M591" s="25"/>
      <c r="N591" s="25"/>
    </row>
    <row r="592" spans="4:14" ht="14.25" customHeight="1">
      <c r="D592" s="25"/>
      <c r="F592" s="25"/>
      <c r="H592" s="25"/>
      <c r="J592" s="25"/>
      <c r="L592" s="25"/>
      <c r="M592" s="25"/>
      <c r="N592" s="25"/>
    </row>
    <row r="593" spans="4:14" ht="14.25" customHeight="1">
      <c r="D593" s="25"/>
      <c r="F593" s="25"/>
      <c r="H593" s="25"/>
      <c r="J593" s="25"/>
      <c r="L593" s="25"/>
      <c r="M593" s="25"/>
      <c r="N593" s="25"/>
    </row>
    <row r="594" spans="4:14" ht="14.25" customHeight="1">
      <c r="D594" s="25"/>
      <c r="F594" s="25"/>
      <c r="H594" s="25"/>
      <c r="J594" s="25"/>
      <c r="L594" s="25"/>
      <c r="M594" s="25"/>
      <c r="N594" s="25"/>
    </row>
    <row r="595" spans="4:14" ht="14.25" customHeight="1">
      <c r="D595" s="25"/>
      <c r="F595" s="25"/>
      <c r="H595" s="25"/>
      <c r="J595" s="25"/>
      <c r="L595" s="25"/>
      <c r="M595" s="25"/>
      <c r="N595" s="25"/>
    </row>
    <row r="596" spans="4:14" ht="14.25" customHeight="1">
      <c r="D596" s="25"/>
      <c r="F596" s="25"/>
      <c r="H596" s="25"/>
      <c r="J596" s="25"/>
      <c r="L596" s="25"/>
      <c r="M596" s="25"/>
      <c r="N596" s="25"/>
    </row>
    <row r="597" spans="4:14" ht="14.25" customHeight="1">
      <c r="D597" s="25"/>
      <c r="F597" s="25"/>
      <c r="H597" s="25"/>
      <c r="J597" s="25"/>
      <c r="L597" s="25"/>
      <c r="M597" s="25"/>
      <c r="N597" s="25"/>
    </row>
    <row r="598" spans="4:14" ht="14.25" customHeight="1">
      <c r="D598" s="25"/>
      <c r="F598" s="25"/>
      <c r="H598" s="25"/>
      <c r="J598" s="25"/>
      <c r="L598" s="25"/>
      <c r="M598" s="25"/>
      <c r="N598" s="25"/>
    </row>
    <row r="599" spans="4:14" ht="14.25" customHeight="1">
      <c r="D599" s="25"/>
      <c r="F599" s="25"/>
      <c r="H599" s="25"/>
      <c r="J599" s="25"/>
      <c r="L599" s="25"/>
      <c r="M599" s="25"/>
      <c r="N599" s="25"/>
    </row>
    <row r="600" spans="4:14" ht="14.25" customHeight="1">
      <c r="D600" s="25"/>
      <c r="F600" s="25"/>
      <c r="H600" s="25"/>
      <c r="J600" s="25"/>
      <c r="L600" s="25"/>
      <c r="M600" s="25"/>
      <c r="N600" s="25"/>
    </row>
    <row r="601" spans="4:14" ht="14.25" customHeight="1">
      <c r="D601" s="25"/>
      <c r="F601" s="25"/>
      <c r="H601" s="25"/>
      <c r="J601" s="25"/>
      <c r="L601" s="25"/>
      <c r="M601" s="25"/>
      <c r="N601" s="25"/>
    </row>
    <row r="602" spans="4:14" ht="14.25" customHeight="1">
      <c r="D602" s="25"/>
      <c r="F602" s="25"/>
      <c r="H602" s="25"/>
      <c r="J602" s="25"/>
      <c r="L602" s="25"/>
      <c r="M602" s="25"/>
      <c r="N602" s="25"/>
    </row>
    <row r="603" spans="4:14" ht="14.25" customHeight="1">
      <c r="D603" s="25"/>
      <c r="F603" s="25"/>
      <c r="H603" s="25"/>
      <c r="J603" s="25"/>
      <c r="L603" s="25"/>
      <c r="M603" s="25"/>
      <c r="N603" s="25"/>
    </row>
    <row r="604" spans="4:14" ht="14.25" customHeight="1">
      <c r="D604" s="25"/>
      <c r="F604" s="25"/>
      <c r="H604" s="25"/>
      <c r="J604" s="25"/>
      <c r="L604" s="25"/>
      <c r="M604" s="25"/>
      <c r="N604" s="25"/>
    </row>
    <row r="605" spans="4:14" ht="14.25" customHeight="1">
      <c r="D605" s="25"/>
      <c r="F605" s="25"/>
      <c r="H605" s="25"/>
      <c r="J605" s="25"/>
      <c r="L605" s="25"/>
      <c r="M605" s="25"/>
      <c r="N605" s="25"/>
    </row>
    <row r="606" spans="4:14" ht="14.25" customHeight="1">
      <c r="D606" s="25"/>
      <c r="F606" s="25"/>
      <c r="H606" s="25"/>
      <c r="J606" s="25"/>
      <c r="L606" s="25"/>
      <c r="M606" s="25"/>
      <c r="N606" s="25"/>
    </row>
    <row r="607" spans="4:14" ht="14.25" customHeight="1">
      <c r="D607" s="25"/>
      <c r="F607" s="25"/>
      <c r="H607" s="25"/>
      <c r="J607" s="25"/>
      <c r="L607" s="25"/>
      <c r="M607" s="25"/>
      <c r="N607" s="25"/>
    </row>
    <row r="608" spans="4:14" ht="14.25" customHeight="1">
      <c r="D608" s="25"/>
      <c r="F608" s="25"/>
      <c r="H608" s="25"/>
      <c r="J608" s="25"/>
      <c r="L608" s="25"/>
      <c r="M608" s="25"/>
      <c r="N608" s="25"/>
    </row>
    <row r="609" spans="4:14" ht="14.25" customHeight="1">
      <c r="D609" s="25"/>
      <c r="F609" s="25"/>
      <c r="H609" s="25"/>
      <c r="J609" s="25"/>
      <c r="L609" s="25"/>
      <c r="M609" s="25"/>
      <c r="N609" s="25"/>
    </row>
    <row r="610" spans="4:14" ht="14.25" customHeight="1">
      <c r="D610" s="25"/>
      <c r="F610" s="25"/>
      <c r="H610" s="25"/>
      <c r="J610" s="25"/>
      <c r="L610" s="25"/>
      <c r="M610" s="25"/>
      <c r="N610" s="25"/>
    </row>
    <row r="611" spans="4:14" ht="14.25" customHeight="1">
      <c r="D611" s="25"/>
      <c r="F611" s="25"/>
      <c r="H611" s="25"/>
      <c r="J611" s="25"/>
      <c r="L611" s="25"/>
      <c r="M611" s="25"/>
      <c r="N611" s="25"/>
    </row>
    <row r="612" spans="4:14" ht="14.25" customHeight="1">
      <c r="D612" s="25"/>
      <c r="F612" s="25"/>
      <c r="H612" s="25"/>
      <c r="J612" s="25"/>
      <c r="L612" s="25"/>
      <c r="M612" s="25"/>
      <c r="N612" s="25"/>
    </row>
    <row r="613" spans="4:14" ht="14.25" customHeight="1">
      <c r="D613" s="25"/>
      <c r="F613" s="25"/>
      <c r="H613" s="25"/>
      <c r="J613" s="25"/>
      <c r="L613" s="25"/>
      <c r="M613" s="25"/>
      <c r="N613" s="25"/>
    </row>
    <row r="614" spans="4:14" ht="14.25" customHeight="1">
      <c r="D614" s="25"/>
      <c r="F614" s="25"/>
      <c r="H614" s="25"/>
      <c r="J614" s="25"/>
      <c r="L614" s="25"/>
      <c r="M614" s="25"/>
      <c r="N614" s="25"/>
    </row>
    <row r="615" spans="4:14" ht="14.25" customHeight="1">
      <c r="D615" s="25"/>
      <c r="F615" s="25"/>
      <c r="H615" s="25"/>
      <c r="J615" s="25"/>
      <c r="L615" s="25"/>
      <c r="M615" s="25"/>
      <c r="N615" s="25"/>
    </row>
    <row r="616" spans="4:14" ht="14.25" customHeight="1">
      <c r="D616" s="25"/>
      <c r="F616" s="25"/>
      <c r="H616" s="25"/>
      <c r="J616" s="25"/>
      <c r="L616" s="25"/>
      <c r="M616" s="25"/>
      <c r="N616" s="25"/>
    </row>
    <row r="617" spans="4:14" ht="14.25" customHeight="1">
      <c r="D617" s="25"/>
      <c r="F617" s="25"/>
      <c r="H617" s="25"/>
      <c r="J617" s="25"/>
      <c r="L617" s="25"/>
      <c r="M617" s="25"/>
      <c r="N617" s="25"/>
    </row>
    <row r="618" spans="4:14" ht="14.25" customHeight="1">
      <c r="D618" s="25"/>
      <c r="F618" s="25"/>
      <c r="H618" s="25"/>
      <c r="J618" s="25"/>
      <c r="L618" s="25"/>
      <c r="M618" s="25"/>
      <c r="N618" s="25"/>
    </row>
    <row r="619" spans="4:14" ht="14.25" customHeight="1">
      <c r="D619" s="25"/>
      <c r="F619" s="25"/>
      <c r="H619" s="25"/>
      <c r="J619" s="25"/>
      <c r="L619" s="25"/>
      <c r="M619" s="25"/>
      <c r="N619" s="25"/>
    </row>
    <row r="620" spans="4:14" ht="14.25" customHeight="1">
      <c r="D620" s="25"/>
      <c r="F620" s="25"/>
      <c r="H620" s="25"/>
      <c r="J620" s="25"/>
      <c r="L620" s="25"/>
      <c r="M620" s="25"/>
      <c r="N620" s="25"/>
    </row>
    <row r="621" spans="4:14" ht="14.25" customHeight="1">
      <c r="D621" s="25"/>
      <c r="F621" s="25"/>
      <c r="H621" s="25"/>
      <c r="J621" s="25"/>
      <c r="L621" s="25"/>
      <c r="M621" s="25"/>
      <c r="N621" s="25"/>
    </row>
    <row r="622" spans="4:14" ht="14.25" customHeight="1">
      <c r="D622" s="25"/>
      <c r="F622" s="25"/>
      <c r="H622" s="25"/>
      <c r="J622" s="25"/>
      <c r="L622" s="25"/>
      <c r="M622" s="25"/>
      <c r="N622" s="25"/>
    </row>
    <row r="623" spans="4:14" ht="14.25" customHeight="1">
      <c r="D623" s="25"/>
      <c r="F623" s="25"/>
      <c r="H623" s="25"/>
      <c r="J623" s="25"/>
      <c r="L623" s="25"/>
      <c r="M623" s="25"/>
      <c r="N623" s="25"/>
    </row>
    <row r="624" spans="4:14" ht="14.25" customHeight="1">
      <c r="D624" s="25"/>
      <c r="F624" s="25"/>
      <c r="H624" s="25"/>
      <c r="J624" s="25"/>
      <c r="L624" s="25"/>
      <c r="M624" s="25"/>
      <c r="N624" s="25"/>
    </row>
    <row r="625" spans="4:14" ht="14.25" customHeight="1">
      <c r="D625" s="25"/>
      <c r="F625" s="25"/>
      <c r="H625" s="25"/>
      <c r="J625" s="25"/>
      <c r="L625" s="25"/>
      <c r="M625" s="25"/>
      <c r="N625" s="25"/>
    </row>
    <row r="626" spans="4:14" ht="14.25" customHeight="1">
      <c r="D626" s="25"/>
      <c r="F626" s="25"/>
      <c r="H626" s="25"/>
      <c r="J626" s="25"/>
      <c r="L626" s="25"/>
      <c r="M626" s="25"/>
      <c r="N626" s="25"/>
    </row>
    <row r="627" spans="4:14" ht="14.25" customHeight="1">
      <c r="D627" s="25"/>
      <c r="F627" s="25"/>
      <c r="H627" s="25"/>
      <c r="J627" s="25"/>
      <c r="L627" s="25"/>
      <c r="M627" s="25"/>
      <c r="N627" s="25"/>
    </row>
    <row r="628" spans="4:14" ht="14.25" customHeight="1">
      <c r="D628" s="25"/>
      <c r="F628" s="25"/>
      <c r="H628" s="25"/>
      <c r="J628" s="25"/>
      <c r="L628" s="25"/>
      <c r="M628" s="25"/>
      <c r="N628" s="25"/>
    </row>
    <row r="629" spans="4:14" ht="14.25" customHeight="1">
      <c r="D629" s="25"/>
      <c r="F629" s="25"/>
      <c r="H629" s="25"/>
      <c r="J629" s="25"/>
      <c r="L629" s="25"/>
      <c r="M629" s="25"/>
      <c r="N629" s="25"/>
    </row>
    <row r="630" spans="4:14" ht="14.25" customHeight="1">
      <c r="D630" s="25"/>
      <c r="F630" s="25"/>
      <c r="H630" s="25"/>
      <c r="J630" s="25"/>
      <c r="L630" s="25"/>
      <c r="M630" s="25"/>
      <c r="N630" s="25"/>
    </row>
    <row r="631" spans="4:14" ht="14.25" customHeight="1">
      <c r="D631" s="25"/>
      <c r="F631" s="25"/>
      <c r="H631" s="25"/>
      <c r="J631" s="25"/>
      <c r="L631" s="25"/>
      <c r="M631" s="25"/>
      <c r="N631" s="25"/>
    </row>
    <row r="632" spans="4:14" ht="14.25" customHeight="1">
      <c r="D632" s="25"/>
      <c r="F632" s="25"/>
      <c r="H632" s="25"/>
      <c r="J632" s="25"/>
      <c r="L632" s="25"/>
      <c r="M632" s="25"/>
      <c r="N632" s="25"/>
    </row>
    <row r="633" spans="4:14" ht="14.25" customHeight="1">
      <c r="D633" s="25"/>
      <c r="F633" s="25"/>
      <c r="H633" s="25"/>
      <c r="J633" s="25"/>
      <c r="L633" s="25"/>
      <c r="M633" s="25"/>
      <c r="N633" s="25"/>
    </row>
    <row r="634" spans="4:14" ht="14.25" customHeight="1">
      <c r="D634" s="25"/>
      <c r="F634" s="25"/>
      <c r="H634" s="25"/>
      <c r="J634" s="25"/>
      <c r="L634" s="25"/>
      <c r="M634" s="25"/>
      <c r="N634" s="25"/>
    </row>
    <row r="635" spans="4:14" ht="14.25" customHeight="1">
      <c r="D635" s="25"/>
      <c r="F635" s="25"/>
      <c r="H635" s="25"/>
      <c r="J635" s="25"/>
      <c r="L635" s="25"/>
      <c r="M635" s="25"/>
      <c r="N635" s="25"/>
    </row>
    <row r="636" spans="4:14" ht="14.25" customHeight="1">
      <c r="D636" s="25"/>
      <c r="F636" s="25"/>
      <c r="H636" s="25"/>
      <c r="J636" s="25"/>
      <c r="L636" s="25"/>
      <c r="M636" s="25"/>
      <c r="N636" s="25"/>
    </row>
    <row r="637" spans="4:14" ht="14.25" customHeight="1">
      <c r="D637" s="25"/>
      <c r="F637" s="25"/>
      <c r="H637" s="25"/>
      <c r="J637" s="25"/>
      <c r="L637" s="25"/>
      <c r="M637" s="25"/>
      <c r="N637" s="25"/>
    </row>
    <row r="638" spans="4:14" ht="14.25" customHeight="1">
      <c r="D638" s="25"/>
      <c r="F638" s="25"/>
      <c r="H638" s="25"/>
      <c r="J638" s="25"/>
      <c r="L638" s="25"/>
      <c r="M638" s="25"/>
      <c r="N638" s="25"/>
    </row>
    <row r="639" spans="4:14" ht="14.25" customHeight="1">
      <c r="D639" s="25"/>
      <c r="F639" s="25"/>
      <c r="H639" s="25"/>
      <c r="J639" s="25"/>
      <c r="L639" s="25"/>
      <c r="M639" s="25"/>
      <c r="N639" s="25"/>
    </row>
    <row r="640" spans="4:14" ht="14.25" customHeight="1">
      <c r="D640" s="25"/>
      <c r="F640" s="25"/>
      <c r="H640" s="25"/>
      <c r="J640" s="25"/>
      <c r="L640" s="25"/>
      <c r="M640" s="25"/>
      <c r="N640" s="25"/>
    </row>
    <row r="641" spans="4:14" ht="14.25" customHeight="1">
      <c r="D641" s="25"/>
      <c r="F641" s="25"/>
      <c r="H641" s="25"/>
      <c r="J641" s="25"/>
      <c r="L641" s="25"/>
      <c r="M641" s="25"/>
      <c r="N641" s="25"/>
    </row>
    <row r="642" spans="4:14" ht="14.25" customHeight="1">
      <c r="D642" s="25"/>
      <c r="F642" s="25"/>
      <c r="H642" s="25"/>
      <c r="J642" s="25"/>
      <c r="L642" s="25"/>
      <c r="M642" s="25"/>
      <c r="N642" s="25"/>
    </row>
    <row r="643" spans="4:14" ht="14.25" customHeight="1">
      <c r="D643" s="25"/>
      <c r="F643" s="25"/>
      <c r="H643" s="25"/>
      <c r="J643" s="25"/>
      <c r="L643" s="25"/>
      <c r="M643" s="25"/>
      <c r="N643" s="25"/>
    </row>
    <row r="644" spans="4:14" ht="14.25" customHeight="1">
      <c r="D644" s="25"/>
      <c r="F644" s="25"/>
      <c r="H644" s="25"/>
      <c r="J644" s="25"/>
      <c r="L644" s="25"/>
      <c r="M644" s="25"/>
      <c r="N644" s="25"/>
    </row>
    <row r="645" spans="4:14" ht="14.25" customHeight="1">
      <c r="D645" s="25"/>
      <c r="F645" s="25"/>
      <c r="H645" s="25"/>
      <c r="J645" s="25"/>
      <c r="L645" s="25"/>
      <c r="M645" s="25"/>
      <c r="N645" s="25"/>
    </row>
    <row r="646" spans="4:14" ht="14.25" customHeight="1">
      <c r="D646" s="25"/>
      <c r="F646" s="25"/>
      <c r="H646" s="25"/>
      <c r="J646" s="25"/>
      <c r="L646" s="25"/>
      <c r="M646" s="25"/>
      <c r="N646" s="25"/>
    </row>
    <row r="647" spans="4:14" ht="14.25" customHeight="1">
      <c r="D647" s="25"/>
      <c r="F647" s="25"/>
      <c r="H647" s="25"/>
      <c r="J647" s="25"/>
      <c r="L647" s="25"/>
      <c r="M647" s="25"/>
      <c r="N647" s="25"/>
    </row>
    <row r="648" spans="4:14" ht="14.25" customHeight="1">
      <c r="D648" s="25"/>
      <c r="F648" s="25"/>
      <c r="H648" s="25"/>
      <c r="J648" s="25"/>
      <c r="L648" s="25"/>
      <c r="M648" s="25"/>
      <c r="N648" s="25"/>
    </row>
    <row r="649" spans="4:14" ht="14.25" customHeight="1">
      <c r="D649" s="25"/>
      <c r="F649" s="25"/>
      <c r="H649" s="25"/>
      <c r="J649" s="25"/>
      <c r="L649" s="25"/>
      <c r="M649" s="25"/>
      <c r="N649" s="25"/>
    </row>
    <row r="650" spans="4:14" ht="14.25" customHeight="1">
      <c r="D650" s="25"/>
      <c r="F650" s="25"/>
      <c r="H650" s="25"/>
      <c r="J650" s="25"/>
      <c r="L650" s="25"/>
      <c r="M650" s="25"/>
      <c r="N650" s="25"/>
    </row>
    <row r="651" spans="4:14" ht="14.25" customHeight="1">
      <c r="D651" s="25"/>
      <c r="F651" s="25"/>
      <c r="H651" s="25"/>
      <c r="J651" s="25"/>
      <c r="L651" s="25"/>
      <c r="M651" s="25"/>
      <c r="N651" s="25"/>
    </row>
    <row r="652" spans="4:14" ht="14.25" customHeight="1">
      <c r="D652" s="25"/>
      <c r="F652" s="25"/>
      <c r="H652" s="25"/>
      <c r="J652" s="25"/>
      <c r="L652" s="25"/>
      <c r="M652" s="25"/>
      <c r="N652" s="25"/>
    </row>
    <row r="653" spans="4:14" ht="14.25" customHeight="1">
      <c r="D653" s="25"/>
      <c r="F653" s="25"/>
      <c r="H653" s="25"/>
      <c r="J653" s="25"/>
      <c r="L653" s="25"/>
      <c r="M653" s="25"/>
      <c r="N653" s="25"/>
    </row>
    <row r="654" spans="4:14" ht="14.25" customHeight="1">
      <c r="D654" s="25"/>
      <c r="F654" s="25"/>
      <c r="H654" s="25"/>
      <c r="J654" s="25"/>
      <c r="L654" s="25"/>
      <c r="M654" s="25"/>
      <c r="N654" s="25"/>
    </row>
    <row r="655" spans="4:14" ht="14.25" customHeight="1">
      <c r="D655" s="25"/>
      <c r="F655" s="25"/>
      <c r="H655" s="25"/>
      <c r="J655" s="25"/>
      <c r="L655" s="25"/>
      <c r="M655" s="25"/>
      <c r="N655" s="25"/>
    </row>
    <row r="656" spans="4:14" ht="14.25" customHeight="1">
      <c r="D656" s="25"/>
      <c r="F656" s="25"/>
      <c r="H656" s="25"/>
      <c r="J656" s="25"/>
      <c r="L656" s="25"/>
      <c r="M656" s="25"/>
      <c r="N656" s="25"/>
    </row>
    <row r="657" spans="4:14" ht="14.25" customHeight="1">
      <c r="D657" s="25"/>
      <c r="F657" s="25"/>
      <c r="H657" s="25"/>
      <c r="J657" s="25"/>
      <c r="L657" s="25"/>
      <c r="M657" s="25"/>
      <c r="N657" s="25"/>
    </row>
    <row r="658" spans="4:14" ht="14.25" customHeight="1">
      <c r="D658" s="25"/>
      <c r="F658" s="25"/>
      <c r="H658" s="25"/>
      <c r="J658" s="25"/>
      <c r="L658" s="25"/>
      <c r="M658" s="25"/>
      <c r="N658" s="25"/>
    </row>
    <row r="659" spans="4:14" ht="14.25" customHeight="1">
      <c r="D659" s="25"/>
      <c r="F659" s="25"/>
      <c r="H659" s="25"/>
      <c r="J659" s="25"/>
      <c r="L659" s="25"/>
      <c r="M659" s="25"/>
      <c r="N659" s="25"/>
    </row>
    <row r="660" spans="4:14" ht="14.25" customHeight="1">
      <c r="D660" s="25"/>
      <c r="F660" s="25"/>
      <c r="H660" s="25"/>
      <c r="J660" s="25"/>
      <c r="L660" s="25"/>
      <c r="M660" s="25"/>
      <c r="N660" s="25"/>
    </row>
    <row r="661" spans="4:14" ht="14.25" customHeight="1">
      <c r="D661" s="25"/>
      <c r="F661" s="25"/>
      <c r="H661" s="25"/>
      <c r="J661" s="25"/>
      <c r="L661" s="25"/>
      <c r="M661" s="25"/>
      <c r="N661" s="25"/>
    </row>
    <row r="662" spans="4:14" ht="14.25" customHeight="1">
      <c r="D662" s="25"/>
      <c r="F662" s="25"/>
      <c r="H662" s="25"/>
      <c r="J662" s="25"/>
      <c r="L662" s="25"/>
      <c r="M662" s="25"/>
      <c r="N662" s="25"/>
    </row>
    <row r="663" spans="4:14" ht="14.25" customHeight="1">
      <c r="D663" s="25"/>
      <c r="F663" s="25"/>
      <c r="H663" s="25"/>
      <c r="J663" s="25"/>
      <c r="L663" s="25"/>
      <c r="M663" s="25"/>
      <c r="N663" s="25"/>
    </row>
    <row r="664" spans="4:14" ht="14.25" customHeight="1">
      <c r="D664" s="25"/>
      <c r="F664" s="25"/>
      <c r="H664" s="25"/>
      <c r="J664" s="25"/>
      <c r="L664" s="25"/>
      <c r="M664" s="25"/>
      <c r="N664" s="25"/>
    </row>
    <row r="665" spans="4:14" ht="14.25" customHeight="1">
      <c r="D665" s="25"/>
      <c r="F665" s="25"/>
      <c r="H665" s="25"/>
      <c r="J665" s="25"/>
      <c r="L665" s="25"/>
      <c r="M665" s="25"/>
      <c r="N665" s="25"/>
    </row>
    <row r="666" spans="4:14" ht="14.25" customHeight="1">
      <c r="D666" s="25"/>
      <c r="F666" s="25"/>
      <c r="H666" s="25"/>
      <c r="J666" s="25"/>
      <c r="L666" s="25"/>
      <c r="M666" s="25"/>
      <c r="N666" s="25"/>
    </row>
    <row r="667" spans="4:14" ht="14.25" customHeight="1">
      <c r="D667" s="25"/>
      <c r="F667" s="25"/>
      <c r="H667" s="25"/>
      <c r="J667" s="25"/>
      <c r="L667" s="25"/>
      <c r="M667" s="25"/>
      <c r="N667" s="25"/>
    </row>
    <row r="668" spans="4:14" ht="14.25" customHeight="1">
      <c r="D668" s="25"/>
      <c r="F668" s="25"/>
      <c r="H668" s="25"/>
      <c r="J668" s="25"/>
      <c r="L668" s="25"/>
      <c r="M668" s="25"/>
      <c r="N668" s="25"/>
    </row>
    <row r="669" spans="4:14" ht="14.25" customHeight="1">
      <c r="D669" s="25"/>
      <c r="F669" s="25"/>
      <c r="H669" s="25"/>
      <c r="J669" s="25"/>
      <c r="L669" s="25"/>
      <c r="M669" s="25"/>
      <c r="N669" s="25"/>
    </row>
    <row r="670" spans="4:14" ht="14.25" customHeight="1">
      <c r="D670" s="25"/>
      <c r="F670" s="25"/>
      <c r="H670" s="25"/>
      <c r="J670" s="25"/>
      <c r="L670" s="25"/>
      <c r="M670" s="25"/>
      <c r="N670" s="25"/>
    </row>
    <row r="671" spans="4:14" ht="14.25" customHeight="1">
      <c r="D671" s="25"/>
      <c r="F671" s="25"/>
      <c r="H671" s="25"/>
      <c r="J671" s="25"/>
      <c r="L671" s="25"/>
      <c r="M671" s="25"/>
      <c r="N671" s="25"/>
    </row>
    <row r="672" spans="4:14" ht="14.25" customHeight="1">
      <c r="D672" s="25"/>
      <c r="F672" s="25"/>
      <c r="H672" s="25"/>
      <c r="J672" s="25"/>
      <c r="L672" s="25"/>
      <c r="M672" s="25"/>
      <c r="N672" s="25"/>
    </row>
    <row r="673" spans="4:14" ht="14.25" customHeight="1">
      <c r="D673" s="25"/>
      <c r="F673" s="25"/>
      <c r="H673" s="25"/>
      <c r="J673" s="25"/>
      <c r="L673" s="25"/>
      <c r="M673" s="25"/>
      <c r="N673" s="25"/>
    </row>
    <row r="674" spans="4:14" ht="14.25" customHeight="1">
      <c r="D674" s="25"/>
      <c r="F674" s="25"/>
      <c r="H674" s="25"/>
      <c r="J674" s="25"/>
      <c r="L674" s="25"/>
      <c r="M674" s="25"/>
      <c r="N674" s="25"/>
    </row>
    <row r="675" spans="4:14" ht="14.25" customHeight="1">
      <c r="D675" s="25"/>
      <c r="F675" s="25"/>
      <c r="H675" s="25"/>
      <c r="J675" s="25"/>
      <c r="L675" s="25"/>
      <c r="M675" s="25"/>
      <c r="N675" s="25"/>
    </row>
    <row r="676" spans="4:14" ht="14.25" customHeight="1">
      <c r="D676" s="25"/>
      <c r="F676" s="25"/>
      <c r="H676" s="25"/>
      <c r="J676" s="25"/>
      <c r="L676" s="25"/>
      <c r="M676" s="25"/>
      <c r="N676" s="25"/>
    </row>
    <row r="677" spans="4:14" ht="14.25" customHeight="1">
      <c r="D677" s="25"/>
      <c r="F677" s="25"/>
      <c r="H677" s="25"/>
      <c r="J677" s="25"/>
      <c r="L677" s="25"/>
      <c r="M677" s="25"/>
      <c r="N677" s="25"/>
    </row>
    <row r="678" spans="4:14" ht="14.25" customHeight="1">
      <c r="D678" s="25"/>
      <c r="F678" s="25"/>
      <c r="H678" s="25"/>
      <c r="J678" s="25"/>
      <c r="L678" s="25"/>
      <c r="M678" s="25"/>
      <c r="N678" s="25"/>
    </row>
    <row r="679" spans="4:14" ht="14.25" customHeight="1">
      <c r="D679" s="25"/>
      <c r="F679" s="25"/>
      <c r="H679" s="25"/>
      <c r="J679" s="25"/>
      <c r="L679" s="25"/>
      <c r="M679" s="25"/>
      <c r="N679" s="25"/>
    </row>
    <row r="680" spans="4:14" ht="14.25" customHeight="1">
      <c r="D680" s="25"/>
      <c r="F680" s="25"/>
      <c r="H680" s="25"/>
      <c r="J680" s="25"/>
      <c r="L680" s="25"/>
      <c r="M680" s="25"/>
      <c r="N680" s="25"/>
    </row>
    <row r="681" spans="4:14" ht="14.25" customHeight="1">
      <c r="D681" s="25"/>
      <c r="F681" s="25"/>
      <c r="H681" s="25"/>
      <c r="J681" s="25"/>
      <c r="L681" s="25"/>
      <c r="M681" s="25"/>
      <c r="N681" s="25"/>
    </row>
    <row r="682" spans="4:14" ht="14.25" customHeight="1">
      <c r="D682" s="25"/>
      <c r="F682" s="25"/>
      <c r="H682" s="25"/>
      <c r="J682" s="25"/>
      <c r="L682" s="25"/>
      <c r="M682" s="25"/>
      <c r="N682" s="25"/>
    </row>
    <row r="683" spans="4:14" ht="14.25" customHeight="1">
      <c r="D683" s="25"/>
      <c r="F683" s="25"/>
      <c r="H683" s="25"/>
      <c r="J683" s="25"/>
      <c r="L683" s="25"/>
      <c r="M683" s="25"/>
      <c r="N683" s="25"/>
    </row>
    <row r="684" spans="4:14" ht="14.25" customHeight="1">
      <c r="D684" s="25"/>
      <c r="F684" s="25"/>
      <c r="H684" s="25"/>
      <c r="J684" s="25"/>
      <c r="L684" s="25"/>
      <c r="M684" s="25"/>
      <c r="N684" s="25"/>
    </row>
    <row r="685" spans="4:14" ht="14.25" customHeight="1">
      <c r="D685" s="25"/>
      <c r="F685" s="25"/>
      <c r="H685" s="25"/>
      <c r="J685" s="25"/>
      <c r="L685" s="25"/>
      <c r="M685" s="25"/>
      <c r="N685" s="25"/>
    </row>
    <row r="686" spans="4:14" ht="14.25" customHeight="1">
      <c r="D686" s="25"/>
      <c r="F686" s="25"/>
      <c r="H686" s="25"/>
      <c r="J686" s="25"/>
      <c r="L686" s="25"/>
      <c r="M686" s="25"/>
      <c r="N686" s="25"/>
    </row>
    <row r="687" spans="4:14" ht="14.25" customHeight="1">
      <c r="D687" s="25"/>
      <c r="F687" s="25"/>
      <c r="H687" s="25"/>
      <c r="J687" s="25"/>
      <c r="L687" s="25"/>
      <c r="M687" s="25"/>
      <c r="N687" s="25"/>
    </row>
    <row r="688" spans="4:14" ht="14.25" customHeight="1">
      <c r="D688" s="25"/>
      <c r="F688" s="25"/>
      <c r="H688" s="25"/>
      <c r="J688" s="25"/>
      <c r="L688" s="25"/>
      <c r="M688" s="25"/>
      <c r="N688" s="25"/>
    </row>
    <row r="689" spans="4:14" ht="14.25" customHeight="1">
      <c r="D689" s="25"/>
      <c r="F689" s="25"/>
      <c r="H689" s="25"/>
      <c r="J689" s="25"/>
      <c r="L689" s="25"/>
      <c r="M689" s="25"/>
      <c r="N689" s="25"/>
    </row>
    <row r="690" spans="4:14" ht="14.25" customHeight="1">
      <c r="D690" s="25"/>
      <c r="F690" s="25"/>
      <c r="H690" s="25"/>
      <c r="J690" s="25"/>
      <c r="L690" s="25"/>
      <c r="M690" s="25"/>
      <c r="N690" s="25"/>
    </row>
    <row r="691" spans="4:14" ht="14.25" customHeight="1">
      <c r="D691" s="25"/>
      <c r="F691" s="25"/>
      <c r="H691" s="25"/>
      <c r="J691" s="25"/>
      <c r="L691" s="25"/>
      <c r="M691" s="25"/>
      <c r="N691" s="25"/>
    </row>
    <row r="692" spans="4:14" ht="14.25" customHeight="1">
      <c r="D692" s="25"/>
      <c r="F692" s="25"/>
      <c r="H692" s="25"/>
      <c r="J692" s="25"/>
      <c r="L692" s="25"/>
      <c r="M692" s="25"/>
      <c r="N692" s="25"/>
    </row>
    <row r="693" spans="4:14" ht="14.25" customHeight="1">
      <c r="D693" s="25"/>
      <c r="F693" s="25"/>
      <c r="H693" s="25"/>
      <c r="J693" s="25"/>
      <c r="L693" s="25"/>
      <c r="M693" s="25"/>
      <c r="N693" s="25"/>
    </row>
    <row r="694" spans="4:14" ht="14.25" customHeight="1">
      <c r="D694" s="25"/>
      <c r="F694" s="25"/>
      <c r="H694" s="25"/>
      <c r="J694" s="25"/>
      <c r="L694" s="25"/>
      <c r="M694" s="25"/>
      <c r="N694" s="25"/>
    </row>
    <row r="695" spans="4:14" ht="14.25" customHeight="1">
      <c r="D695" s="25"/>
      <c r="F695" s="25"/>
      <c r="H695" s="25"/>
      <c r="J695" s="25"/>
      <c r="L695" s="25"/>
      <c r="M695" s="25"/>
      <c r="N695" s="25"/>
    </row>
    <row r="696" spans="4:14" ht="14.25" customHeight="1">
      <c r="D696" s="25"/>
      <c r="F696" s="25"/>
      <c r="H696" s="25"/>
      <c r="J696" s="25"/>
      <c r="L696" s="25"/>
      <c r="M696" s="25"/>
      <c r="N696" s="25"/>
    </row>
    <row r="697" spans="4:14" ht="14.25" customHeight="1">
      <c r="D697" s="25"/>
      <c r="F697" s="25"/>
      <c r="H697" s="25"/>
      <c r="J697" s="25"/>
      <c r="L697" s="25"/>
      <c r="M697" s="25"/>
      <c r="N697" s="25"/>
    </row>
    <row r="698" spans="4:14" ht="14.25" customHeight="1">
      <c r="D698" s="25"/>
      <c r="F698" s="25"/>
      <c r="H698" s="25"/>
      <c r="J698" s="25"/>
      <c r="L698" s="25"/>
      <c r="M698" s="25"/>
      <c r="N698" s="25"/>
    </row>
    <row r="699" spans="4:14" ht="14.25" customHeight="1">
      <c r="D699" s="25"/>
      <c r="F699" s="25"/>
      <c r="H699" s="25"/>
      <c r="J699" s="25"/>
      <c r="L699" s="25"/>
      <c r="M699" s="25"/>
      <c r="N699" s="25"/>
    </row>
    <row r="700" spans="4:14" ht="14.25" customHeight="1">
      <c r="D700" s="25"/>
      <c r="F700" s="25"/>
      <c r="H700" s="25"/>
      <c r="J700" s="25"/>
      <c r="L700" s="25"/>
      <c r="M700" s="25"/>
      <c r="N700" s="25"/>
    </row>
    <row r="701" spans="4:14" ht="14.25" customHeight="1">
      <c r="D701" s="25"/>
      <c r="F701" s="25"/>
      <c r="H701" s="25"/>
      <c r="J701" s="25"/>
      <c r="L701" s="25"/>
      <c r="M701" s="25"/>
      <c r="N701" s="25"/>
    </row>
    <row r="702" spans="4:14" ht="14.25" customHeight="1">
      <c r="D702" s="25"/>
      <c r="F702" s="25"/>
      <c r="H702" s="25"/>
      <c r="J702" s="25"/>
      <c r="L702" s="25"/>
      <c r="M702" s="25"/>
      <c r="N702" s="25"/>
    </row>
    <row r="703" spans="4:14" ht="14.25" customHeight="1">
      <c r="D703" s="25"/>
      <c r="F703" s="25"/>
      <c r="H703" s="25"/>
      <c r="J703" s="25"/>
      <c r="L703" s="25"/>
      <c r="M703" s="25"/>
      <c r="N703" s="25"/>
    </row>
    <row r="704" spans="4:14" ht="14.25" customHeight="1">
      <c r="D704" s="25"/>
      <c r="F704" s="25"/>
      <c r="H704" s="25"/>
      <c r="J704" s="25"/>
      <c r="L704" s="25"/>
      <c r="M704" s="25"/>
      <c r="N704" s="25"/>
    </row>
    <row r="705" spans="4:14" ht="14.25" customHeight="1">
      <c r="D705" s="25"/>
      <c r="F705" s="25"/>
      <c r="H705" s="25"/>
      <c r="J705" s="25"/>
      <c r="L705" s="25"/>
      <c r="M705" s="25"/>
      <c r="N705" s="25"/>
    </row>
    <row r="706" spans="4:14" ht="14.25" customHeight="1">
      <c r="D706" s="25"/>
      <c r="F706" s="25"/>
      <c r="H706" s="25"/>
      <c r="J706" s="25"/>
      <c r="L706" s="25"/>
      <c r="M706" s="25"/>
      <c r="N706" s="25"/>
    </row>
    <row r="707" spans="4:14" ht="14.25" customHeight="1">
      <c r="D707" s="25"/>
      <c r="F707" s="25"/>
      <c r="H707" s="25"/>
      <c r="J707" s="25"/>
      <c r="L707" s="25"/>
      <c r="M707" s="25"/>
      <c r="N707" s="25"/>
    </row>
    <row r="708" spans="4:14" ht="14.25" customHeight="1">
      <c r="D708" s="25"/>
      <c r="F708" s="25"/>
      <c r="H708" s="25"/>
      <c r="J708" s="25"/>
      <c r="L708" s="25"/>
      <c r="M708" s="25"/>
      <c r="N708" s="25"/>
    </row>
    <row r="709" spans="4:14" ht="14.25" customHeight="1">
      <c r="D709" s="25"/>
      <c r="F709" s="25"/>
      <c r="H709" s="25"/>
      <c r="J709" s="25"/>
      <c r="L709" s="25"/>
      <c r="M709" s="25"/>
      <c r="N709" s="25"/>
    </row>
    <row r="710" spans="4:14" ht="14.25" customHeight="1">
      <c r="D710" s="25"/>
      <c r="F710" s="25"/>
      <c r="H710" s="25"/>
      <c r="J710" s="25"/>
      <c r="L710" s="25"/>
      <c r="M710" s="25"/>
      <c r="N710" s="25"/>
    </row>
    <row r="711" spans="4:14" ht="14.25" customHeight="1">
      <c r="D711" s="25"/>
      <c r="F711" s="25"/>
      <c r="H711" s="25"/>
      <c r="J711" s="25"/>
      <c r="L711" s="25"/>
      <c r="M711" s="25"/>
      <c r="N711" s="25"/>
    </row>
    <row r="712" spans="4:14" ht="14.25" customHeight="1">
      <c r="D712" s="25"/>
      <c r="F712" s="25"/>
      <c r="H712" s="25"/>
      <c r="J712" s="25"/>
      <c r="L712" s="25"/>
      <c r="M712" s="25"/>
      <c r="N712" s="25"/>
    </row>
    <row r="713" spans="4:14" ht="14.25" customHeight="1">
      <c r="D713" s="25"/>
      <c r="F713" s="25"/>
      <c r="H713" s="25"/>
      <c r="J713" s="25"/>
      <c r="L713" s="25"/>
      <c r="M713" s="25"/>
      <c r="N713" s="25"/>
    </row>
    <row r="714" spans="4:14" ht="14.25" customHeight="1">
      <c r="D714" s="25"/>
      <c r="F714" s="25"/>
      <c r="H714" s="25"/>
      <c r="J714" s="25"/>
      <c r="L714" s="25"/>
      <c r="M714" s="25"/>
      <c r="N714" s="25"/>
    </row>
    <row r="715" spans="4:14" ht="14.25" customHeight="1">
      <c r="D715" s="25"/>
      <c r="F715" s="25"/>
      <c r="H715" s="25"/>
      <c r="J715" s="25"/>
      <c r="L715" s="25"/>
      <c r="M715" s="25"/>
      <c r="N715" s="25"/>
    </row>
    <row r="716" spans="4:14" ht="14.25" customHeight="1">
      <c r="D716" s="25"/>
      <c r="F716" s="25"/>
      <c r="H716" s="25"/>
      <c r="J716" s="25"/>
      <c r="L716" s="25"/>
      <c r="M716" s="25"/>
      <c r="N716" s="25"/>
    </row>
    <row r="717" spans="4:14" ht="14.25" customHeight="1">
      <c r="D717" s="25"/>
      <c r="F717" s="25"/>
      <c r="H717" s="25"/>
      <c r="J717" s="25"/>
      <c r="L717" s="25"/>
      <c r="M717" s="25"/>
      <c r="N717" s="25"/>
    </row>
    <row r="718" spans="4:14" ht="14.25" customHeight="1">
      <c r="D718" s="25"/>
      <c r="F718" s="25"/>
      <c r="H718" s="25"/>
      <c r="J718" s="25"/>
      <c r="L718" s="25"/>
      <c r="M718" s="25"/>
      <c r="N718" s="25"/>
    </row>
    <row r="719" spans="4:14" ht="14.25" customHeight="1">
      <c r="D719" s="25"/>
      <c r="F719" s="25"/>
      <c r="H719" s="25"/>
      <c r="J719" s="25"/>
      <c r="L719" s="25"/>
      <c r="M719" s="25"/>
      <c r="N719" s="25"/>
    </row>
    <row r="720" spans="4:14" ht="14.25" customHeight="1">
      <c r="D720" s="25"/>
      <c r="F720" s="25"/>
      <c r="H720" s="25"/>
      <c r="J720" s="25"/>
      <c r="L720" s="25"/>
      <c r="M720" s="25"/>
      <c r="N720" s="25"/>
    </row>
    <row r="721" spans="4:14" ht="14.25" customHeight="1">
      <c r="D721" s="25"/>
      <c r="F721" s="25"/>
      <c r="H721" s="25"/>
      <c r="J721" s="25"/>
      <c r="L721" s="25"/>
      <c r="M721" s="25"/>
      <c r="N721" s="25"/>
    </row>
    <row r="722" spans="4:14" ht="14.25" customHeight="1">
      <c r="D722" s="25"/>
      <c r="F722" s="25"/>
      <c r="H722" s="25"/>
      <c r="J722" s="25"/>
      <c r="L722" s="25"/>
      <c r="M722" s="25"/>
      <c r="N722" s="25"/>
    </row>
    <row r="723" spans="4:14" ht="14.25" customHeight="1">
      <c r="D723" s="25"/>
      <c r="F723" s="25"/>
      <c r="H723" s="25"/>
      <c r="J723" s="25"/>
      <c r="L723" s="25"/>
      <c r="M723" s="25"/>
      <c r="N723" s="25"/>
    </row>
    <row r="724" spans="4:14" ht="14.25" customHeight="1">
      <c r="D724" s="25"/>
      <c r="F724" s="25"/>
      <c r="H724" s="25"/>
      <c r="J724" s="25"/>
      <c r="L724" s="25"/>
      <c r="M724" s="25"/>
      <c r="N724" s="25"/>
    </row>
    <row r="725" spans="4:14" ht="14.25" customHeight="1">
      <c r="D725" s="25"/>
      <c r="F725" s="25"/>
      <c r="H725" s="25"/>
      <c r="J725" s="25"/>
      <c r="L725" s="25"/>
      <c r="M725" s="25"/>
      <c r="N725" s="25"/>
    </row>
    <row r="726" spans="4:14" ht="14.25" customHeight="1">
      <c r="D726" s="25"/>
      <c r="F726" s="25"/>
      <c r="H726" s="25"/>
      <c r="J726" s="25"/>
      <c r="L726" s="25"/>
      <c r="M726" s="25"/>
      <c r="N726" s="25"/>
    </row>
    <row r="727" spans="4:14" ht="14.25" customHeight="1">
      <c r="D727" s="25"/>
      <c r="F727" s="25"/>
      <c r="H727" s="25"/>
      <c r="J727" s="25"/>
      <c r="L727" s="25"/>
      <c r="M727" s="25"/>
      <c r="N727" s="25"/>
    </row>
    <row r="728" spans="4:14" ht="14.25" customHeight="1">
      <c r="D728" s="25"/>
      <c r="F728" s="25"/>
      <c r="H728" s="25"/>
      <c r="J728" s="25"/>
      <c r="L728" s="25"/>
      <c r="M728" s="25"/>
      <c r="N728" s="25"/>
    </row>
    <row r="729" spans="4:14" ht="14.25" customHeight="1">
      <c r="D729" s="25"/>
      <c r="F729" s="25"/>
      <c r="H729" s="25"/>
      <c r="J729" s="25"/>
      <c r="L729" s="25"/>
      <c r="M729" s="25"/>
      <c r="N729" s="25"/>
    </row>
    <row r="730" spans="4:14" ht="14.25" customHeight="1">
      <c r="D730" s="25"/>
      <c r="F730" s="25"/>
      <c r="H730" s="25"/>
      <c r="J730" s="25"/>
      <c r="L730" s="25"/>
      <c r="M730" s="25"/>
      <c r="N730" s="25"/>
    </row>
    <row r="731" spans="4:14" ht="14.25" customHeight="1">
      <c r="D731" s="25"/>
      <c r="F731" s="25"/>
      <c r="H731" s="25"/>
      <c r="J731" s="25"/>
      <c r="L731" s="25"/>
      <c r="M731" s="25"/>
      <c r="N731" s="25"/>
    </row>
    <row r="732" spans="4:14" ht="14.25" customHeight="1">
      <c r="D732" s="25"/>
      <c r="F732" s="25"/>
      <c r="H732" s="25"/>
      <c r="J732" s="25"/>
      <c r="L732" s="25"/>
      <c r="M732" s="25"/>
      <c r="N732" s="25"/>
    </row>
    <row r="733" spans="4:14" ht="14.25" customHeight="1">
      <c r="D733" s="25"/>
      <c r="F733" s="25"/>
      <c r="H733" s="25"/>
      <c r="J733" s="25"/>
      <c r="L733" s="25"/>
      <c r="M733" s="25"/>
      <c r="N733" s="25"/>
    </row>
    <row r="734" spans="4:14" ht="14.25" customHeight="1">
      <c r="D734" s="25"/>
      <c r="F734" s="25"/>
      <c r="H734" s="25"/>
      <c r="J734" s="25"/>
      <c r="L734" s="25"/>
      <c r="M734" s="25"/>
      <c r="N734" s="25"/>
    </row>
    <row r="735" spans="4:14" ht="14.25" customHeight="1">
      <c r="D735" s="25"/>
      <c r="F735" s="25"/>
      <c r="H735" s="25"/>
      <c r="J735" s="25"/>
      <c r="L735" s="25"/>
      <c r="M735" s="25"/>
      <c r="N735" s="25"/>
    </row>
    <row r="736" spans="4:14" ht="14.25" customHeight="1">
      <c r="D736" s="25"/>
      <c r="F736" s="25"/>
      <c r="H736" s="25"/>
      <c r="J736" s="25"/>
      <c r="L736" s="25"/>
      <c r="M736" s="25"/>
      <c r="N736" s="25"/>
    </row>
    <row r="737" spans="4:14" ht="14.25" customHeight="1">
      <c r="D737" s="25"/>
      <c r="F737" s="25"/>
      <c r="H737" s="25"/>
      <c r="J737" s="25"/>
      <c r="L737" s="25"/>
      <c r="M737" s="25"/>
      <c r="N737" s="25"/>
    </row>
    <row r="738" spans="4:14" ht="14.25" customHeight="1">
      <c r="D738" s="25"/>
      <c r="F738" s="25"/>
      <c r="H738" s="25"/>
      <c r="J738" s="25"/>
      <c r="L738" s="25"/>
      <c r="M738" s="25"/>
      <c r="N738" s="25"/>
    </row>
    <row r="739" spans="4:14" ht="14.25" customHeight="1">
      <c r="D739" s="25"/>
      <c r="F739" s="25"/>
      <c r="H739" s="25"/>
      <c r="J739" s="25"/>
      <c r="L739" s="25"/>
      <c r="M739" s="25"/>
      <c r="N739" s="25"/>
    </row>
    <row r="740" spans="4:14" ht="14.25" customHeight="1">
      <c r="D740" s="25"/>
      <c r="F740" s="25"/>
      <c r="H740" s="25"/>
      <c r="J740" s="25"/>
      <c r="L740" s="25"/>
      <c r="M740" s="25"/>
      <c r="N740" s="25"/>
    </row>
    <row r="741" spans="4:14" ht="14.25" customHeight="1">
      <c r="D741" s="25"/>
      <c r="F741" s="25"/>
      <c r="H741" s="25"/>
      <c r="J741" s="25"/>
      <c r="L741" s="25"/>
      <c r="M741" s="25"/>
      <c r="N741" s="25"/>
    </row>
    <row r="742" spans="4:14" ht="14.25" customHeight="1">
      <c r="D742" s="25"/>
      <c r="F742" s="25"/>
      <c r="H742" s="25"/>
      <c r="J742" s="25"/>
      <c r="L742" s="25"/>
      <c r="M742" s="25"/>
      <c r="N742" s="25"/>
    </row>
    <row r="743" spans="4:14" ht="14.25" customHeight="1">
      <c r="D743" s="25"/>
      <c r="F743" s="25"/>
      <c r="H743" s="25"/>
      <c r="J743" s="25"/>
      <c r="L743" s="25"/>
      <c r="M743" s="25"/>
      <c r="N743" s="25"/>
    </row>
    <row r="744" spans="4:14" ht="14.25" customHeight="1">
      <c r="D744" s="25"/>
      <c r="F744" s="25"/>
      <c r="H744" s="25"/>
      <c r="J744" s="25"/>
      <c r="L744" s="25"/>
      <c r="M744" s="25"/>
      <c r="N744" s="25"/>
    </row>
    <row r="745" spans="4:14" ht="14.25" customHeight="1">
      <c r="D745" s="25"/>
      <c r="F745" s="25"/>
      <c r="H745" s="25"/>
      <c r="J745" s="25"/>
      <c r="L745" s="25"/>
      <c r="M745" s="25"/>
      <c r="N745" s="25"/>
    </row>
    <row r="746" spans="4:14" ht="14.25" customHeight="1">
      <c r="D746" s="25"/>
      <c r="F746" s="25"/>
      <c r="H746" s="25"/>
      <c r="J746" s="25"/>
      <c r="L746" s="25"/>
      <c r="M746" s="25"/>
      <c r="N746" s="25"/>
    </row>
    <row r="747" spans="4:14" ht="14.25" customHeight="1">
      <c r="D747" s="25"/>
      <c r="F747" s="25"/>
      <c r="H747" s="25"/>
      <c r="J747" s="25"/>
      <c r="L747" s="25"/>
      <c r="M747" s="25"/>
      <c r="N747" s="25"/>
    </row>
    <row r="748" spans="4:14" ht="14.25" customHeight="1">
      <c r="D748" s="25"/>
      <c r="F748" s="25"/>
      <c r="H748" s="25"/>
      <c r="J748" s="25"/>
      <c r="L748" s="25"/>
      <c r="M748" s="25"/>
      <c r="N748" s="25"/>
    </row>
    <row r="749" spans="4:14" ht="14.25" customHeight="1">
      <c r="D749" s="25"/>
      <c r="F749" s="25"/>
      <c r="H749" s="25"/>
      <c r="J749" s="25"/>
      <c r="L749" s="25"/>
      <c r="M749" s="25"/>
      <c r="N749" s="25"/>
    </row>
    <row r="750" spans="4:14" ht="14.25" customHeight="1">
      <c r="D750" s="25"/>
      <c r="F750" s="25"/>
      <c r="H750" s="25"/>
      <c r="J750" s="25"/>
      <c r="L750" s="25"/>
      <c r="M750" s="25"/>
      <c r="N750" s="25"/>
    </row>
    <row r="751" spans="4:14" ht="14.25" customHeight="1">
      <c r="D751" s="25"/>
      <c r="F751" s="25"/>
      <c r="H751" s="25"/>
      <c r="J751" s="25"/>
      <c r="L751" s="25"/>
      <c r="M751" s="25"/>
      <c r="N751" s="25"/>
    </row>
    <row r="752" spans="4:14" ht="14.25" customHeight="1">
      <c r="D752" s="25"/>
      <c r="F752" s="25"/>
      <c r="H752" s="25"/>
      <c r="J752" s="25"/>
      <c r="L752" s="25"/>
      <c r="M752" s="25"/>
      <c r="N752" s="25"/>
    </row>
    <row r="753" spans="4:14" ht="14.25" customHeight="1">
      <c r="D753" s="25"/>
      <c r="F753" s="25"/>
      <c r="H753" s="25"/>
      <c r="J753" s="25"/>
      <c r="L753" s="25"/>
      <c r="M753" s="25"/>
      <c r="N753" s="25"/>
    </row>
    <row r="754" spans="4:14" ht="14.25" customHeight="1">
      <c r="D754" s="25"/>
      <c r="F754" s="25"/>
      <c r="H754" s="25"/>
      <c r="J754" s="25"/>
      <c r="L754" s="25"/>
      <c r="M754" s="25"/>
      <c r="N754" s="25"/>
    </row>
    <row r="755" spans="4:14" ht="14.25" customHeight="1">
      <c r="D755" s="25"/>
      <c r="F755" s="25"/>
      <c r="H755" s="25"/>
      <c r="J755" s="25"/>
      <c r="L755" s="25"/>
      <c r="M755" s="25"/>
      <c r="N755" s="25"/>
    </row>
    <row r="756" spans="4:14" ht="14.25" customHeight="1">
      <c r="D756" s="25"/>
      <c r="F756" s="25"/>
      <c r="H756" s="25"/>
      <c r="J756" s="25"/>
      <c r="L756" s="25"/>
      <c r="M756" s="25"/>
      <c r="N756" s="25"/>
    </row>
    <row r="757" spans="4:14" ht="14.25" customHeight="1">
      <c r="D757" s="25"/>
      <c r="F757" s="25"/>
      <c r="H757" s="25"/>
      <c r="J757" s="25"/>
      <c r="L757" s="25"/>
      <c r="M757" s="25"/>
      <c r="N757" s="25"/>
    </row>
    <row r="758" spans="4:14" ht="14.25" customHeight="1">
      <c r="D758" s="25"/>
      <c r="F758" s="25"/>
      <c r="H758" s="25"/>
      <c r="J758" s="25"/>
      <c r="L758" s="25"/>
      <c r="M758" s="25"/>
      <c r="N758" s="25"/>
    </row>
    <row r="759" spans="4:14" ht="14.25" customHeight="1">
      <c r="D759" s="25"/>
      <c r="F759" s="25"/>
      <c r="H759" s="25"/>
      <c r="J759" s="25"/>
      <c r="L759" s="25"/>
      <c r="M759" s="25"/>
      <c r="N759" s="25"/>
    </row>
    <row r="760" spans="4:14" ht="14.25" customHeight="1">
      <c r="D760" s="25"/>
      <c r="F760" s="25"/>
      <c r="H760" s="25"/>
      <c r="J760" s="25"/>
      <c r="L760" s="25"/>
      <c r="M760" s="25"/>
      <c r="N760" s="25"/>
    </row>
    <row r="761" spans="4:14" ht="14.25" customHeight="1">
      <c r="D761" s="25"/>
      <c r="F761" s="25"/>
      <c r="H761" s="25"/>
      <c r="J761" s="25"/>
      <c r="L761" s="25"/>
      <c r="M761" s="25"/>
      <c r="N761" s="25"/>
    </row>
    <row r="762" spans="4:14" ht="14.25" customHeight="1">
      <c r="D762" s="25"/>
      <c r="F762" s="25"/>
      <c r="H762" s="25"/>
      <c r="J762" s="25"/>
      <c r="L762" s="25"/>
      <c r="M762" s="25"/>
      <c r="N762" s="25"/>
    </row>
    <row r="763" spans="4:14" ht="14.25" customHeight="1">
      <c r="D763" s="25"/>
      <c r="F763" s="25"/>
      <c r="H763" s="25"/>
      <c r="J763" s="25"/>
      <c r="L763" s="25"/>
      <c r="M763" s="25"/>
      <c r="N763" s="25"/>
    </row>
    <row r="764" spans="4:14" ht="14.25" customHeight="1">
      <c r="D764" s="25"/>
      <c r="F764" s="25"/>
      <c r="H764" s="25"/>
      <c r="J764" s="25"/>
      <c r="L764" s="25"/>
      <c r="M764" s="25"/>
      <c r="N764" s="25"/>
    </row>
    <row r="765" spans="4:14" ht="14.25" customHeight="1">
      <c r="D765" s="25"/>
      <c r="F765" s="25"/>
      <c r="H765" s="25"/>
      <c r="J765" s="25"/>
      <c r="L765" s="25"/>
      <c r="M765" s="25"/>
      <c r="N765" s="25"/>
    </row>
    <row r="766" spans="4:14" ht="14.25" customHeight="1">
      <c r="D766" s="25"/>
      <c r="F766" s="25"/>
      <c r="H766" s="25"/>
      <c r="J766" s="25"/>
      <c r="L766" s="25"/>
      <c r="M766" s="25"/>
      <c r="N766" s="25"/>
    </row>
    <row r="767" spans="4:14" ht="14.25" customHeight="1">
      <c r="D767" s="25"/>
      <c r="F767" s="25"/>
      <c r="H767" s="25"/>
      <c r="J767" s="25"/>
      <c r="L767" s="25"/>
      <c r="M767" s="25"/>
      <c r="N767" s="25"/>
    </row>
    <row r="768" spans="4:14" ht="14.25" customHeight="1">
      <c r="D768" s="25"/>
      <c r="F768" s="25"/>
      <c r="H768" s="25"/>
      <c r="J768" s="25"/>
      <c r="L768" s="25"/>
      <c r="M768" s="25"/>
      <c r="N768" s="25"/>
    </row>
    <row r="769" spans="4:14" ht="14.25" customHeight="1">
      <c r="D769" s="25"/>
      <c r="F769" s="25"/>
      <c r="H769" s="25"/>
      <c r="J769" s="25"/>
      <c r="L769" s="25"/>
      <c r="M769" s="25"/>
      <c r="N769" s="25"/>
    </row>
    <row r="770" spans="4:14" ht="14.25" customHeight="1">
      <c r="D770" s="25"/>
      <c r="F770" s="25"/>
      <c r="H770" s="25"/>
      <c r="J770" s="25"/>
      <c r="L770" s="25"/>
      <c r="M770" s="25"/>
      <c r="N770" s="25"/>
    </row>
    <row r="771" spans="4:14" ht="14.25" customHeight="1">
      <c r="D771" s="25"/>
      <c r="F771" s="25"/>
      <c r="H771" s="25"/>
      <c r="J771" s="25"/>
      <c r="L771" s="25"/>
      <c r="M771" s="25"/>
      <c r="N771" s="25"/>
    </row>
    <row r="772" spans="4:14" ht="14.25" customHeight="1">
      <c r="D772" s="25"/>
      <c r="F772" s="25"/>
      <c r="H772" s="25"/>
      <c r="J772" s="25"/>
      <c r="L772" s="25"/>
      <c r="M772" s="25"/>
      <c r="N772" s="25"/>
    </row>
    <row r="773" spans="4:14" ht="14.25" customHeight="1">
      <c r="D773" s="25"/>
      <c r="F773" s="25"/>
      <c r="H773" s="25"/>
      <c r="J773" s="25"/>
      <c r="L773" s="25"/>
      <c r="M773" s="25"/>
      <c r="N773" s="25"/>
    </row>
    <row r="774" spans="4:14" ht="14.25" customHeight="1">
      <c r="D774" s="25"/>
      <c r="F774" s="25"/>
      <c r="H774" s="25"/>
      <c r="J774" s="25"/>
      <c r="L774" s="25"/>
      <c r="M774" s="25"/>
      <c r="N774" s="25"/>
    </row>
    <row r="775" spans="4:14" ht="14.25" customHeight="1">
      <c r="D775" s="25"/>
      <c r="F775" s="25"/>
      <c r="H775" s="25"/>
      <c r="J775" s="25"/>
      <c r="L775" s="25"/>
      <c r="M775" s="25"/>
      <c r="N775" s="25"/>
    </row>
    <row r="776" spans="4:14" ht="14.25" customHeight="1">
      <c r="D776" s="25"/>
      <c r="F776" s="25"/>
      <c r="H776" s="25"/>
      <c r="J776" s="25"/>
      <c r="L776" s="25"/>
      <c r="M776" s="25"/>
      <c r="N776" s="25"/>
    </row>
    <row r="777" spans="4:14" ht="14.25" customHeight="1">
      <c r="D777" s="25"/>
      <c r="F777" s="25"/>
      <c r="H777" s="25"/>
      <c r="J777" s="25"/>
      <c r="L777" s="25"/>
      <c r="M777" s="25"/>
      <c r="N777" s="25"/>
    </row>
    <row r="778" spans="4:14" ht="14.25" customHeight="1">
      <c r="D778" s="25"/>
      <c r="F778" s="25"/>
      <c r="H778" s="25"/>
      <c r="J778" s="25"/>
      <c r="L778" s="25"/>
      <c r="M778" s="25"/>
      <c r="N778" s="25"/>
    </row>
    <row r="779" spans="4:14" ht="14.25" customHeight="1">
      <c r="D779" s="25"/>
      <c r="F779" s="25"/>
      <c r="H779" s="25"/>
      <c r="J779" s="25"/>
      <c r="L779" s="25"/>
      <c r="M779" s="25"/>
      <c r="N779" s="25"/>
    </row>
    <row r="780" spans="4:14" ht="14.25" customHeight="1">
      <c r="D780" s="25"/>
      <c r="F780" s="25"/>
      <c r="H780" s="25"/>
      <c r="J780" s="25"/>
      <c r="L780" s="25"/>
      <c r="M780" s="25"/>
      <c r="N780" s="25"/>
    </row>
    <row r="781" spans="4:14" ht="14.25" customHeight="1">
      <c r="D781" s="25"/>
      <c r="F781" s="25"/>
      <c r="H781" s="25"/>
      <c r="J781" s="25"/>
      <c r="L781" s="25"/>
      <c r="M781" s="25"/>
      <c r="N781" s="25"/>
    </row>
    <row r="782" spans="4:14" ht="14.25" customHeight="1">
      <c r="D782" s="25"/>
      <c r="F782" s="25"/>
      <c r="H782" s="25"/>
      <c r="J782" s="25"/>
      <c r="L782" s="25"/>
      <c r="M782" s="25"/>
      <c r="N782" s="25"/>
    </row>
    <row r="783" spans="4:14" ht="14.25" customHeight="1">
      <c r="D783" s="25"/>
      <c r="F783" s="25"/>
      <c r="H783" s="25"/>
      <c r="J783" s="25"/>
      <c r="L783" s="25"/>
      <c r="M783" s="25"/>
      <c r="N783" s="25"/>
    </row>
    <row r="784" spans="4:14" ht="14.25" customHeight="1">
      <c r="D784" s="25"/>
      <c r="F784" s="25"/>
      <c r="H784" s="25"/>
      <c r="J784" s="25"/>
      <c r="L784" s="25"/>
      <c r="M784" s="25"/>
      <c r="N784" s="25"/>
    </row>
    <row r="785" spans="4:14" ht="14.25" customHeight="1">
      <c r="D785" s="25"/>
      <c r="F785" s="25"/>
      <c r="H785" s="25"/>
      <c r="J785" s="25"/>
      <c r="L785" s="25"/>
      <c r="M785" s="25"/>
      <c r="N785" s="25"/>
    </row>
    <row r="786" spans="4:14" ht="14.25" customHeight="1">
      <c r="D786" s="25"/>
      <c r="F786" s="25"/>
      <c r="H786" s="25"/>
      <c r="J786" s="25"/>
      <c r="L786" s="25"/>
      <c r="M786" s="25"/>
      <c r="N786" s="25"/>
    </row>
    <row r="787" spans="4:14" ht="14.25" customHeight="1">
      <c r="D787" s="25"/>
      <c r="F787" s="25"/>
      <c r="H787" s="25"/>
      <c r="J787" s="25"/>
      <c r="L787" s="25"/>
      <c r="M787" s="25"/>
      <c r="N787" s="25"/>
    </row>
    <row r="788" spans="4:14" ht="14.25" customHeight="1">
      <c r="D788" s="25"/>
      <c r="F788" s="25"/>
      <c r="H788" s="25"/>
      <c r="J788" s="25"/>
      <c r="L788" s="25"/>
      <c r="M788" s="25"/>
      <c r="N788" s="25"/>
    </row>
    <row r="789" spans="4:14" ht="14.25" customHeight="1">
      <c r="D789" s="25"/>
      <c r="F789" s="25"/>
      <c r="H789" s="25"/>
      <c r="J789" s="25"/>
      <c r="L789" s="25"/>
      <c r="M789" s="25"/>
      <c r="N789" s="25"/>
    </row>
    <row r="790" spans="4:14" ht="14.25" customHeight="1">
      <c r="D790" s="25"/>
      <c r="F790" s="25"/>
      <c r="H790" s="25"/>
      <c r="J790" s="25"/>
      <c r="L790" s="25"/>
      <c r="M790" s="25"/>
      <c r="N790" s="25"/>
    </row>
    <row r="791" spans="4:14" ht="14.25" customHeight="1">
      <c r="D791" s="25"/>
      <c r="F791" s="25"/>
      <c r="H791" s="25"/>
      <c r="J791" s="25"/>
      <c r="L791" s="25"/>
      <c r="M791" s="25"/>
      <c r="N791" s="25"/>
    </row>
    <row r="792" spans="4:14" ht="14.25" customHeight="1">
      <c r="D792" s="25"/>
      <c r="F792" s="25"/>
      <c r="H792" s="25"/>
      <c r="J792" s="25"/>
      <c r="L792" s="25"/>
      <c r="M792" s="25"/>
      <c r="N792" s="25"/>
    </row>
    <row r="793" spans="4:14" ht="14.25" customHeight="1">
      <c r="D793" s="25"/>
      <c r="F793" s="25"/>
      <c r="H793" s="25"/>
      <c r="J793" s="25"/>
      <c r="L793" s="25"/>
      <c r="M793" s="25"/>
      <c r="N793" s="25"/>
    </row>
    <row r="794" spans="4:14" ht="14.25" customHeight="1">
      <c r="D794" s="25"/>
      <c r="F794" s="25"/>
      <c r="H794" s="25"/>
      <c r="J794" s="25"/>
      <c r="L794" s="25"/>
      <c r="M794" s="25"/>
      <c r="N794" s="25"/>
    </row>
    <row r="795" spans="4:14" ht="14.25" customHeight="1">
      <c r="D795" s="25"/>
      <c r="F795" s="25"/>
      <c r="H795" s="25"/>
      <c r="J795" s="25"/>
      <c r="L795" s="25"/>
      <c r="M795" s="25"/>
      <c r="N795" s="25"/>
    </row>
    <row r="796" spans="4:14" ht="14.25" customHeight="1">
      <c r="D796" s="25"/>
      <c r="F796" s="25"/>
      <c r="H796" s="25"/>
      <c r="J796" s="25"/>
      <c r="L796" s="25"/>
      <c r="M796" s="25"/>
      <c r="N796" s="25"/>
    </row>
    <row r="797" spans="4:14" ht="14.25" customHeight="1">
      <c r="D797" s="25"/>
      <c r="F797" s="25"/>
      <c r="H797" s="25"/>
      <c r="J797" s="25"/>
      <c r="L797" s="25"/>
      <c r="M797" s="25"/>
      <c r="N797" s="25"/>
    </row>
    <row r="798" spans="4:14" ht="14.25" customHeight="1">
      <c r="D798" s="25"/>
      <c r="F798" s="25"/>
      <c r="H798" s="25"/>
      <c r="J798" s="25"/>
      <c r="L798" s="25"/>
      <c r="M798" s="25"/>
      <c r="N798" s="25"/>
    </row>
    <row r="799" spans="4:14" ht="14.25" customHeight="1">
      <c r="D799" s="25"/>
      <c r="F799" s="25"/>
      <c r="H799" s="25"/>
      <c r="J799" s="25"/>
      <c r="L799" s="25"/>
      <c r="M799" s="25"/>
      <c r="N799" s="25"/>
    </row>
    <row r="800" spans="4:14" ht="14.25" customHeight="1">
      <c r="D800" s="25"/>
      <c r="F800" s="25"/>
      <c r="H800" s="25"/>
      <c r="J800" s="25"/>
      <c r="L800" s="25"/>
      <c r="M800" s="25"/>
      <c r="N800" s="25"/>
    </row>
    <row r="801" spans="4:14" ht="14.25" customHeight="1">
      <c r="D801" s="25"/>
      <c r="F801" s="25"/>
      <c r="H801" s="25"/>
      <c r="J801" s="25"/>
      <c r="L801" s="25"/>
      <c r="M801" s="25"/>
      <c r="N801" s="25"/>
    </row>
    <row r="802" spans="4:14" ht="14.25" customHeight="1">
      <c r="D802" s="25"/>
      <c r="F802" s="25"/>
      <c r="H802" s="25"/>
      <c r="J802" s="25"/>
      <c r="L802" s="25"/>
      <c r="M802" s="25"/>
      <c r="N802" s="25"/>
    </row>
    <row r="803" spans="4:14" ht="14.25" customHeight="1">
      <c r="D803" s="25"/>
      <c r="F803" s="25"/>
      <c r="H803" s="25"/>
      <c r="J803" s="25"/>
      <c r="L803" s="25"/>
      <c r="M803" s="25"/>
      <c r="N803" s="25"/>
    </row>
    <row r="804" spans="4:14" ht="14.25" customHeight="1">
      <c r="D804" s="25"/>
      <c r="F804" s="25"/>
      <c r="H804" s="25"/>
      <c r="J804" s="25"/>
      <c r="L804" s="25"/>
      <c r="M804" s="25"/>
      <c r="N804" s="25"/>
    </row>
    <row r="805" spans="4:14" ht="14.25" customHeight="1">
      <c r="D805" s="25"/>
      <c r="F805" s="25"/>
      <c r="H805" s="25"/>
      <c r="J805" s="25"/>
      <c r="L805" s="25"/>
      <c r="M805" s="25"/>
      <c r="N805" s="25"/>
    </row>
    <row r="806" spans="4:14" ht="14.25" customHeight="1">
      <c r="D806" s="25"/>
      <c r="F806" s="25"/>
      <c r="H806" s="25"/>
      <c r="J806" s="25"/>
      <c r="L806" s="25"/>
      <c r="M806" s="25"/>
      <c r="N806" s="25"/>
    </row>
    <row r="807" spans="4:14" ht="14.25" customHeight="1">
      <c r="D807" s="25"/>
      <c r="F807" s="25"/>
      <c r="H807" s="25"/>
      <c r="J807" s="25"/>
      <c r="L807" s="25"/>
      <c r="M807" s="25"/>
      <c r="N807" s="25"/>
    </row>
    <row r="808" spans="4:14" ht="14.25" customHeight="1">
      <c r="D808" s="25"/>
      <c r="F808" s="25"/>
      <c r="H808" s="25"/>
      <c r="J808" s="25"/>
      <c r="L808" s="25"/>
      <c r="M808" s="25"/>
      <c r="N808" s="25"/>
    </row>
    <row r="809" spans="4:14" ht="14.25" customHeight="1">
      <c r="D809" s="25"/>
      <c r="F809" s="25"/>
      <c r="H809" s="25"/>
      <c r="J809" s="25"/>
      <c r="L809" s="25"/>
      <c r="M809" s="25"/>
      <c r="N809" s="25"/>
    </row>
    <row r="810" spans="4:14" ht="14.25" customHeight="1">
      <c r="D810" s="25"/>
      <c r="F810" s="25"/>
      <c r="H810" s="25"/>
      <c r="J810" s="25"/>
      <c r="L810" s="25"/>
      <c r="M810" s="25"/>
      <c r="N810" s="25"/>
    </row>
    <row r="811" spans="4:14" ht="14.25" customHeight="1">
      <c r="D811" s="25"/>
      <c r="F811" s="25"/>
      <c r="H811" s="25"/>
      <c r="J811" s="25"/>
      <c r="L811" s="25"/>
      <c r="M811" s="25"/>
      <c r="N811" s="25"/>
    </row>
    <row r="812" spans="4:14" ht="14.25" customHeight="1">
      <c r="D812" s="25"/>
      <c r="F812" s="25"/>
      <c r="H812" s="25"/>
      <c r="J812" s="25"/>
      <c r="L812" s="25"/>
      <c r="M812" s="25"/>
      <c r="N812" s="25"/>
    </row>
    <row r="813" spans="4:14" ht="14.25" customHeight="1">
      <c r="D813" s="25"/>
      <c r="F813" s="25"/>
      <c r="H813" s="25"/>
      <c r="J813" s="25"/>
      <c r="L813" s="25"/>
      <c r="M813" s="25"/>
      <c r="N813" s="25"/>
    </row>
    <row r="814" spans="4:14" ht="14.25" customHeight="1">
      <c r="D814" s="25"/>
      <c r="F814" s="25"/>
      <c r="H814" s="25"/>
      <c r="J814" s="25"/>
      <c r="L814" s="25"/>
      <c r="M814" s="25"/>
      <c r="N814" s="25"/>
    </row>
    <row r="815" spans="4:14" ht="14.25" customHeight="1">
      <c r="D815" s="25"/>
      <c r="F815" s="25"/>
      <c r="H815" s="25"/>
      <c r="J815" s="25"/>
      <c r="L815" s="25"/>
      <c r="M815" s="25"/>
      <c r="N815" s="25"/>
    </row>
    <row r="816" spans="4:14" ht="14.25" customHeight="1">
      <c r="D816" s="25"/>
      <c r="F816" s="25"/>
      <c r="H816" s="25"/>
      <c r="J816" s="25"/>
      <c r="L816" s="25"/>
      <c r="M816" s="25"/>
      <c r="N816" s="25"/>
    </row>
    <row r="817" spans="4:14" ht="14.25" customHeight="1">
      <c r="D817" s="25"/>
      <c r="F817" s="25"/>
      <c r="H817" s="25"/>
      <c r="J817" s="25"/>
      <c r="L817" s="25"/>
      <c r="M817" s="25"/>
      <c r="N817" s="25"/>
    </row>
    <row r="818" spans="4:14" ht="14.25" customHeight="1">
      <c r="D818" s="25"/>
      <c r="F818" s="25"/>
      <c r="H818" s="25"/>
      <c r="J818" s="25"/>
      <c r="L818" s="25"/>
      <c r="M818" s="25"/>
      <c r="N818" s="25"/>
    </row>
    <row r="819" spans="4:14" ht="14.25" customHeight="1">
      <c r="D819" s="25"/>
      <c r="F819" s="25"/>
      <c r="H819" s="25"/>
      <c r="J819" s="25"/>
      <c r="L819" s="25"/>
      <c r="M819" s="25"/>
      <c r="N819" s="25"/>
    </row>
    <row r="820" spans="4:14" ht="14.25" customHeight="1">
      <c r="D820" s="25"/>
      <c r="F820" s="25"/>
      <c r="H820" s="25"/>
      <c r="J820" s="25"/>
      <c r="L820" s="25"/>
      <c r="M820" s="25"/>
      <c r="N820" s="25"/>
    </row>
    <row r="821" spans="4:14" ht="14.25" customHeight="1">
      <c r="D821" s="25"/>
      <c r="F821" s="25"/>
      <c r="H821" s="25"/>
      <c r="J821" s="25"/>
      <c r="L821" s="25"/>
      <c r="M821" s="25"/>
      <c r="N821" s="25"/>
    </row>
    <row r="822" spans="4:14" ht="14.25" customHeight="1">
      <c r="D822" s="25"/>
      <c r="F822" s="25"/>
      <c r="H822" s="25"/>
      <c r="J822" s="25"/>
      <c r="L822" s="25"/>
      <c r="M822" s="25"/>
      <c r="N822" s="25"/>
    </row>
    <row r="823" spans="4:14" ht="14.25" customHeight="1">
      <c r="D823" s="25"/>
      <c r="F823" s="25"/>
      <c r="H823" s="25"/>
      <c r="J823" s="25"/>
      <c r="L823" s="25"/>
      <c r="M823" s="25"/>
      <c r="N823" s="25"/>
    </row>
    <row r="824" spans="4:14" ht="14.25" customHeight="1">
      <c r="D824" s="25"/>
      <c r="F824" s="25"/>
      <c r="H824" s="25"/>
      <c r="J824" s="25"/>
      <c r="L824" s="25"/>
      <c r="M824" s="25"/>
      <c r="N824" s="25"/>
    </row>
    <row r="825" spans="4:14" ht="14.25" customHeight="1">
      <c r="D825" s="25"/>
      <c r="F825" s="25"/>
      <c r="H825" s="25"/>
      <c r="J825" s="25"/>
      <c r="L825" s="25"/>
      <c r="M825" s="25"/>
      <c r="N825" s="25"/>
    </row>
    <row r="826" spans="4:14" ht="14.25" customHeight="1">
      <c r="D826" s="25"/>
      <c r="F826" s="25"/>
      <c r="H826" s="25"/>
      <c r="J826" s="25"/>
      <c r="L826" s="25"/>
      <c r="M826" s="25"/>
      <c r="N826" s="25"/>
    </row>
    <row r="827" spans="4:14" ht="14.25" customHeight="1">
      <c r="D827" s="25"/>
      <c r="F827" s="25"/>
      <c r="H827" s="25"/>
      <c r="J827" s="25"/>
      <c r="L827" s="25"/>
      <c r="M827" s="25"/>
      <c r="N827" s="25"/>
    </row>
    <row r="828" spans="4:14" ht="14.25" customHeight="1">
      <c r="D828" s="25"/>
      <c r="F828" s="25"/>
      <c r="H828" s="25"/>
      <c r="J828" s="25"/>
      <c r="L828" s="25"/>
      <c r="M828" s="25"/>
      <c r="N828" s="25"/>
    </row>
    <row r="829" spans="4:14" ht="14.25" customHeight="1">
      <c r="D829" s="25"/>
      <c r="F829" s="25"/>
      <c r="H829" s="25"/>
      <c r="J829" s="25"/>
      <c r="L829" s="25"/>
      <c r="M829" s="25"/>
      <c r="N829" s="25"/>
    </row>
    <row r="830" spans="4:14" ht="14.25" customHeight="1">
      <c r="D830" s="25"/>
      <c r="F830" s="25"/>
      <c r="H830" s="25"/>
      <c r="J830" s="25"/>
      <c r="L830" s="25"/>
      <c r="M830" s="25"/>
      <c r="N830" s="25"/>
    </row>
    <row r="831" spans="4:14" ht="14.25" customHeight="1">
      <c r="D831" s="25"/>
      <c r="F831" s="25"/>
      <c r="H831" s="25"/>
      <c r="J831" s="25"/>
      <c r="L831" s="25"/>
      <c r="M831" s="25"/>
      <c r="N831" s="25"/>
    </row>
    <row r="832" spans="4:14" ht="14.25" customHeight="1">
      <c r="D832" s="25"/>
      <c r="F832" s="25"/>
      <c r="H832" s="25"/>
      <c r="J832" s="25"/>
      <c r="L832" s="25"/>
      <c r="M832" s="25"/>
      <c r="N832" s="25"/>
    </row>
    <row r="833" spans="4:14" ht="14.25" customHeight="1">
      <c r="D833" s="25"/>
      <c r="F833" s="25"/>
      <c r="H833" s="25"/>
      <c r="J833" s="25"/>
      <c r="L833" s="25"/>
      <c r="M833" s="25"/>
      <c r="N833" s="25"/>
    </row>
    <row r="834" spans="4:14" ht="14.25" customHeight="1">
      <c r="D834" s="25"/>
      <c r="F834" s="25"/>
      <c r="H834" s="25"/>
      <c r="J834" s="25"/>
      <c r="L834" s="25"/>
      <c r="M834" s="25"/>
      <c r="N834" s="25"/>
    </row>
    <row r="835" spans="4:14" ht="14.25" customHeight="1">
      <c r="D835" s="25"/>
      <c r="F835" s="25"/>
      <c r="H835" s="25"/>
      <c r="J835" s="25"/>
      <c r="L835" s="25"/>
      <c r="M835" s="25"/>
      <c r="N835" s="25"/>
    </row>
    <row r="836" spans="4:14" ht="14.25" customHeight="1">
      <c r="D836" s="25"/>
      <c r="F836" s="25"/>
      <c r="H836" s="25"/>
      <c r="J836" s="25"/>
      <c r="L836" s="25"/>
      <c r="M836" s="25"/>
      <c r="N836" s="25"/>
    </row>
    <row r="837" spans="4:14" ht="14.25" customHeight="1">
      <c r="D837" s="25"/>
      <c r="F837" s="25"/>
      <c r="H837" s="25"/>
      <c r="J837" s="25"/>
      <c r="L837" s="25"/>
      <c r="M837" s="25"/>
      <c r="N837" s="25"/>
    </row>
    <row r="838" spans="4:14" ht="14.25" customHeight="1">
      <c r="D838" s="25"/>
      <c r="F838" s="25"/>
      <c r="H838" s="25"/>
      <c r="J838" s="25"/>
      <c r="L838" s="25"/>
      <c r="M838" s="25"/>
      <c r="N838" s="25"/>
    </row>
    <row r="839" spans="4:14" ht="14.25" customHeight="1">
      <c r="D839" s="25"/>
      <c r="F839" s="25"/>
      <c r="H839" s="25"/>
      <c r="J839" s="25"/>
      <c r="L839" s="25"/>
      <c r="M839" s="25"/>
      <c r="N839" s="25"/>
    </row>
    <row r="840" spans="4:14" ht="14.25" customHeight="1">
      <c r="D840" s="25"/>
      <c r="F840" s="25"/>
      <c r="H840" s="25"/>
      <c r="J840" s="25"/>
      <c r="L840" s="25"/>
      <c r="M840" s="25"/>
      <c r="N840" s="25"/>
    </row>
    <row r="841" spans="4:14" ht="14.25" customHeight="1">
      <c r="D841" s="25"/>
      <c r="F841" s="25"/>
      <c r="H841" s="25"/>
      <c r="J841" s="25"/>
      <c r="L841" s="25"/>
      <c r="M841" s="25"/>
      <c r="N841" s="25"/>
    </row>
    <row r="842" spans="4:14" ht="14.25" customHeight="1">
      <c r="D842" s="25"/>
      <c r="F842" s="25"/>
      <c r="H842" s="25"/>
      <c r="J842" s="25"/>
      <c r="L842" s="25"/>
      <c r="M842" s="25"/>
      <c r="N842" s="25"/>
    </row>
    <row r="843" spans="4:14" ht="14.25" customHeight="1">
      <c r="D843" s="25"/>
      <c r="F843" s="25"/>
      <c r="H843" s="25"/>
      <c r="J843" s="25"/>
      <c r="L843" s="25"/>
      <c r="M843" s="25"/>
      <c r="N843" s="25"/>
    </row>
    <row r="844" spans="4:14" ht="14.25" customHeight="1">
      <c r="D844" s="25"/>
      <c r="F844" s="25"/>
      <c r="H844" s="25"/>
      <c r="J844" s="25"/>
      <c r="L844" s="25"/>
      <c r="M844" s="25"/>
      <c r="N844" s="25"/>
    </row>
    <row r="845" spans="4:14" ht="14.25" customHeight="1">
      <c r="D845" s="25"/>
      <c r="F845" s="25"/>
      <c r="H845" s="25"/>
      <c r="J845" s="25"/>
      <c r="L845" s="25"/>
      <c r="M845" s="25"/>
      <c r="N845" s="25"/>
    </row>
    <row r="846" spans="4:14" ht="14.25" customHeight="1">
      <c r="D846" s="25"/>
      <c r="F846" s="25"/>
      <c r="H846" s="25"/>
      <c r="J846" s="25"/>
      <c r="L846" s="25"/>
      <c r="M846" s="25"/>
      <c r="N846" s="25"/>
    </row>
    <row r="847" spans="4:14" ht="14.25" customHeight="1">
      <c r="D847" s="25"/>
      <c r="F847" s="25"/>
      <c r="H847" s="25"/>
      <c r="J847" s="25"/>
      <c r="L847" s="25"/>
      <c r="M847" s="25"/>
      <c r="N847" s="25"/>
    </row>
    <row r="848" spans="4:14" ht="14.25" customHeight="1">
      <c r="D848" s="25"/>
      <c r="F848" s="25"/>
      <c r="H848" s="25"/>
      <c r="J848" s="25"/>
      <c r="L848" s="25"/>
      <c r="M848" s="25"/>
      <c r="N848" s="25"/>
    </row>
    <row r="849" spans="4:14" ht="14.25" customHeight="1">
      <c r="D849" s="25"/>
      <c r="F849" s="25"/>
      <c r="H849" s="25"/>
      <c r="J849" s="25"/>
      <c r="L849" s="25"/>
      <c r="M849" s="25"/>
      <c r="N849" s="25"/>
    </row>
    <row r="850" spans="4:14" ht="14.25" customHeight="1">
      <c r="D850" s="25"/>
      <c r="F850" s="25"/>
      <c r="H850" s="25"/>
      <c r="J850" s="25"/>
      <c r="L850" s="25"/>
      <c r="M850" s="25"/>
      <c r="N850" s="25"/>
    </row>
    <row r="851" spans="4:14" ht="14.25" customHeight="1">
      <c r="D851" s="25"/>
      <c r="F851" s="25"/>
      <c r="H851" s="25"/>
      <c r="J851" s="25"/>
      <c r="L851" s="25"/>
      <c r="M851" s="25"/>
      <c r="N851" s="25"/>
    </row>
    <row r="852" spans="4:14" ht="14.25" customHeight="1">
      <c r="D852" s="25"/>
      <c r="F852" s="25"/>
      <c r="H852" s="25"/>
      <c r="J852" s="25"/>
      <c r="L852" s="25"/>
      <c r="M852" s="25"/>
      <c r="N852" s="25"/>
    </row>
    <row r="853" spans="4:14" ht="14.25" customHeight="1">
      <c r="D853" s="25"/>
      <c r="F853" s="25"/>
      <c r="H853" s="25"/>
      <c r="J853" s="25"/>
      <c r="L853" s="25"/>
      <c r="M853" s="25"/>
      <c r="N853" s="25"/>
    </row>
    <row r="854" spans="4:14" ht="14.25" customHeight="1">
      <c r="D854" s="25"/>
      <c r="F854" s="25"/>
      <c r="H854" s="25"/>
      <c r="J854" s="25"/>
      <c r="L854" s="25"/>
      <c r="M854" s="25"/>
      <c r="N854" s="25"/>
    </row>
    <row r="855" spans="4:14" ht="14.25" customHeight="1">
      <c r="D855" s="25"/>
      <c r="F855" s="25"/>
      <c r="H855" s="25"/>
      <c r="J855" s="25"/>
      <c r="L855" s="25"/>
      <c r="M855" s="25"/>
      <c r="N855" s="25"/>
    </row>
    <row r="856" spans="4:14" ht="14.25" customHeight="1">
      <c r="D856" s="25"/>
      <c r="F856" s="25"/>
      <c r="H856" s="25"/>
      <c r="J856" s="25"/>
      <c r="L856" s="25"/>
      <c r="M856" s="25"/>
      <c r="N856" s="25"/>
    </row>
    <row r="857" spans="4:14" ht="14.25" customHeight="1">
      <c r="D857" s="25"/>
      <c r="F857" s="25"/>
      <c r="H857" s="25"/>
      <c r="J857" s="25"/>
      <c r="L857" s="25"/>
      <c r="M857" s="25"/>
      <c r="N857" s="25"/>
    </row>
    <row r="858" spans="4:14" ht="14.25" customHeight="1">
      <c r="D858" s="25"/>
      <c r="F858" s="25"/>
      <c r="H858" s="25"/>
      <c r="J858" s="25"/>
      <c r="L858" s="25"/>
      <c r="M858" s="25"/>
      <c r="N858" s="25"/>
    </row>
    <row r="859" spans="4:14" ht="14.25" customHeight="1">
      <c r="D859" s="25"/>
      <c r="F859" s="25"/>
      <c r="H859" s="25"/>
      <c r="J859" s="25"/>
      <c r="L859" s="25"/>
      <c r="M859" s="25"/>
      <c r="N859" s="25"/>
    </row>
    <row r="860" spans="4:14" ht="14.25" customHeight="1">
      <c r="D860" s="25"/>
      <c r="F860" s="25"/>
      <c r="H860" s="25"/>
      <c r="J860" s="25"/>
      <c r="L860" s="25"/>
      <c r="M860" s="25"/>
      <c r="N860" s="25"/>
    </row>
    <row r="861" spans="4:14" ht="14.25" customHeight="1">
      <c r="D861" s="25"/>
      <c r="F861" s="25"/>
      <c r="H861" s="25"/>
      <c r="J861" s="25"/>
      <c r="L861" s="25"/>
      <c r="M861" s="25"/>
      <c r="N861" s="25"/>
    </row>
    <row r="862" spans="4:14" ht="14.25" customHeight="1">
      <c r="D862" s="25"/>
      <c r="F862" s="25"/>
      <c r="H862" s="25"/>
      <c r="J862" s="25"/>
      <c r="L862" s="25"/>
      <c r="M862" s="25"/>
      <c r="N862" s="25"/>
    </row>
    <row r="863" spans="4:14" ht="14.25" customHeight="1">
      <c r="D863" s="25"/>
      <c r="F863" s="25"/>
      <c r="H863" s="25"/>
      <c r="J863" s="25"/>
      <c r="L863" s="25"/>
      <c r="M863" s="25"/>
      <c r="N863" s="25"/>
    </row>
    <row r="864" spans="4:14" ht="14.25" customHeight="1">
      <c r="D864" s="25"/>
      <c r="F864" s="25"/>
      <c r="H864" s="25"/>
      <c r="J864" s="25"/>
      <c r="L864" s="25"/>
      <c r="M864" s="25"/>
      <c r="N864" s="25"/>
    </row>
    <row r="865" spans="4:14" ht="14.25" customHeight="1">
      <c r="D865" s="25"/>
      <c r="F865" s="25"/>
      <c r="H865" s="25"/>
      <c r="J865" s="25"/>
      <c r="L865" s="25"/>
      <c r="M865" s="25"/>
      <c r="N865" s="25"/>
    </row>
    <row r="866" spans="4:14" ht="14.25" customHeight="1">
      <c r="D866" s="25"/>
      <c r="F866" s="25"/>
      <c r="H866" s="25"/>
      <c r="J866" s="25"/>
      <c r="L866" s="25"/>
      <c r="M866" s="25"/>
      <c r="N866" s="25"/>
    </row>
    <row r="867" spans="4:14" ht="14.25" customHeight="1">
      <c r="D867" s="25"/>
      <c r="F867" s="25"/>
      <c r="H867" s="25"/>
      <c r="J867" s="25"/>
      <c r="L867" s="25"/>
      <c r="M867" s="25"/>
      <c r="N867" s="25"/>
    </row>
    <row r="868" spans="4:14" ht="14.25" customHeight="1">
      <c r="D868" s="25"/>
      <c r="F868" s="25"/>
      <c r="H868" s="25"/>
      <c r="J868" s="25"/>
      <c r="L868" s="25"/>
      <c r="M868" s="25"/>
      <c r="N868" s="25"/>
    </row>
    <row r="869" spans="4:14" ht="14.25" customHeight="1">
      <c r="D869" s="25"/>
      <c r="F869" s="25"/>
      <c r="H869" s="25"/>
      <c r="J869" s="25"/>
      <c r="L869" s="25"/>
      <c r="M869" s="25"/>
      <c r="N869" s="25"/>
    </row>
    <row r="870" spans="4:14" ht="14.25" customHeight="1">
      <c r="D870" s="25"/>
      <c r="F870" s="25"/>
      <c r="H870" s="25"/>
      <c r="J870" s="25"/>
      <c r="L870" s="25"/>
      <c r="M870" s="25"/>
      <c r="N870" s="25"/>
    </row>
    <row r="871" spans="4:14" ht="14.25" customHeight="1">
      <c r="D871" s="25"/>
      <c r="F871" s="25"/>
      <c r="H871" s="25"/>
      <c r="J871" s="25"/>
      <c r="L871" s="25"/>
      <c r="M871" s="25"/>
      <c r="N871" s="25"/>
    </row>
    <row r="872" spans="4:14" ht="14.25" customHeight="1">
      <c r="D872" s="25"/>
      <c r="F872" s="25"/>
      <c r="H872" s="25"/>
      <c r="J872" s="25"/>
      <c r="L872" s="25"/>
      <c r="M872" s="25"/>
      <c r="N872" s="25"/>
    </row>
    <row r="873" spans="4:14" ht="14.25" customHeight="1">
      <c r="D873" s="25"/>
      <c r="F873" s="25"/>
      <c r="H873" s="25"/>
      <c r="J873" s="25"/>
      <c r="L873" s="25"/>
      <c r="M873" s="25"/>
      <c r="N873" s="25"/>
    </row>
    <row r="874" spans="4:14" ht="14.25" customHeight="1">
      <c r="D874" s="25"/>
      <c r="F874" s="25"/>
      <c r="H874" s="25"/>
      <c r="J874" s="25"/>
      <c r="L874" s="25"/>
      <c r="M874" s="25"/>
      <c r="N874" s="25"/>
    </row>
    <row r="875" spans="4:14" ht="14.25" customHeight="1">
      <c r="D875" s="25"/>
      <c r="F875" s="25"/>
      <c r="H875" s="25"/>
      <c r="J875" s="25"/>
      <c r="L875" s="25"/>
      <c r="M875" s="25"/>
      <c r="N875" s="25"/>
    </row>
    <row r="876" spans="4:14" ht="14.25" customHeight="1">
      <c r="D876" s="25"/>
      <c r="F876" s="25"/>
      <c r="H876" s="25"/>
      <c r="J876" s="25"/>
      <c r="L876" s="25"/>
      <c r="M876" s="25"/>
      <c r="N876" s="25"/>
    </row>
    <row r="877" spans="4:14" ht="14.25" customHeight="1">
      <c r="D877" s="25"/>
      <c r="F877" s="25"/>
      <c r="H877" s="25"/>
      <c r="J877" s="25"/>
      <c r="L877" s="25"/>
      <c r="M877" s="25"/>
      <c r="N877" s="25"/>
    </row>
    <row r="878" spans="4:14" ht="14.25" customHeight="1">
      <c r="D878" s="25"/>
      <c r="F878" s="25"/>
      <c r="H878" s="25"/>
      <c r="J878" s="25"/>
      <c r="L878" s="25"/>
      <c r="M878" s="25"/>
      <c r="N878" s="25"/>
    </row>
    <row r="879" spans="4:14" ht="14.25" customHeight="1">
      <c r="D879" s="25"/>
      <c r="F879" s="25"/>
      <c r="H879" s="25"/>
      <c r="J879" s="25"/>
      <c r="L879" s="25"/>
      <c r="M879" s="25"/>
      <c r="N879" s="25"/>
    </row>
    <row r="880" spans="4:14" ht="14.25" customHeight="1">
      <c r="D880" s="25"/>
      <c r="F880" s="25"/>
      <c r="H880" s="25"/>
      <c r="J880" s="25"/>
      <c r="L880" s="25"/>
      <c r="M880" s="25"/>
      <c r="N880" s="25"/>
    </row>
    <row r="881" spans="4:14" ht="14.25" customHeight="1">
      <c r="D881" s="25"/>
      <c r="F881" s="25"/>
      <c r="H881" s="25"/>
      <c r="J881" s="25"/>
      <c r="L881" s="25"/>
      <c r="M881" s="25"/>
      <c r="N881" s="25"/>
    </row>
    <row r="882" spans="4:14" ht="14.25" customHeight="1">
      <c r="D882" s="25"/>
      <c r="F882" s="25"/>
      <c r="H882" s="25"/>
      <c r="J882" s="25"/>
      <c r="L882" s="25"/>
      <c r="M882" s="25"/>
      <c r="N882" s="25"/>
    </row>
    <row r="883" spans="4:14" ht="14.25" customHeight="1">
      <c r="D883" s="25"/>
      <c r="F883" s="25"/>
      <c r="H883" s="25"/>
      <c r="J883" s="25"/>
      <c r="L883" s="25"/>
      <c r="M883" s="25"/>
      <c r="N883" s="25"/>
    </row>
    <row r="884" spans="4:14" ht="14.25" customHeight="1">
      <c r="D884" s="25"/>
      <c r="F884" s="25"/>
      <c r="H884" s="25"/>
      <c r="J884" s="25"/>
      <c r="L884" s="25"/>
      <c r="M884" s="25"/>
      <c r="N884" s="25"/>
    </row>
    <row r="885" spans="4:14" ht="14.25" customHeight="1">
      <c r="D885" s="25"/>
      <c r="F885" s="25"/>
      <c r="H885" s="25"/>
      <c r="J885" s="25"/>
      <c r="L885" s="25"/>
      <c r="M885" s="25"/>
      <c r="N885" s="25"/>
    </row>
    <row r="886" spans="4:14" ht="14.25" customHeight="1">
      <c r="D886" s="25"/>
      <c r="F886" s="25"/>
      <c r="H886" s="25"/>
      <c r="J886" s="25"/>
      <c r="L886" s="25"/>
      <c r="M886" s="25"/>
      <c r="N886" s="25"/>
    </row>
    <row r="887" spans="4:14" ht="14.25" customHeight="1">
      <c r="D887" s="25"/>
      <c r="F887" s="25"/>
      <c r="H887" s="25"/>
      <c r="J887" s="25"/>
      <c r="L887" s="25"/>
      <c r="M887" s="25"/>
      <c r="N887" s="25"/>
    </row>
    <row r="888" spans="4:14" ht="14.25" customHeight="1">
      <c r="D888" s="25"/>
      <c r="F888" s="25"/>
      <c r="H888" s="25"/>
      <c r="J888" s="25"/>
      <c r="L888" s="25"/>
      <c r="M888" s="25"/>
      <c r="N888" s="25"/>
    </row>
    <row r="889" spans="4:14" ht="14.25" customHeight="1">
      <c r="D889" s="25"/>
      <c r="F889" s="25"/>
      <c r="H889" s="25"/>
      <c r="J889" s="25"/>
      <c r="L889" s="25"/>
      <c r="M889" s="25"/>
      <c r="N889" s="25"/>
    </row>
    <row r="890" spans="4:14" ht="14.25" customHeight="1">
      <c r="D890" s="25"/>
      <c r="F890" s="25"/>
      <c r="H890" s="25"/>
      <c r="J890" s="25"/>
      <c r="L890" s="25"/>
      <c r="M890" s="25"/>
      <c r="N890" s="25"/>
    </row>
    <row r="891" spans="4:14" ht="14.25" customHeight="1">
      <c r="D891" s="25"/>
      <c r="F891" s="25"/>
      <c r="H891" s="25"/>
      <c r="J891" s="25"/>
      <c r="L891" s="25"/>
      <c r="M891" s="25"/>
      <c r="N891" s="25"/>
    </row>
    <row r="892" spans="4:14" ht="14.25" customHeight="1">
      <c r="D892" s="25"/>
      <c r="F892" s="25"/>
      <c r="H892" s="25"/>
      <c r="J892" s="25"/>
      <c r="L892" s="25"/>
      <c r="M892" s="25"/>
      <c r="N892" s="25"/>
    </row>
    <row r="893" spans="4:14" ht="14.25" customHeight="1">
      <c r="D893" s="25"/>
      <c r="F893" s="25"/>
      <c r="H893" s="25"/>
      <c r="J893" s="25"/>
      <c r="L893" s="25"/>
      <c r="M893" s="25"/>
      <c r="N893" s="25"/>
    </row>
    <row r="894" spans="4:14" ht="14.25" customHeight="1">
      <c r="D894" s="25"/>
      <c r="F894" s="25"/>
      <c r="H894" s="25"/>
      <c r="J894" s="25"/>
      <c r="L894" s="25"/>
      <c r="M894" s="25"/>
      <c r="N894" s="25"/>
    </row>
    <row r="895" spans="4:14" ht="14.25" customHeight="1">
      <c r="D895" s="25"/>
      <c r="F895" s="25"/>
      <c r="H895" s="25"/>
      <c r="J895" s="25"/>
      <c r="L895" s="25"/>
      <c r="M895" s="25"/>
      <c r="N895" s="25"/>
    </row>
    <row r="896" spans="4:14" ht="14.25" customHeight="1">
      <c r="D896" s="25"/>
      <c r="F896" s="25"/>
      <c r="H896" s="25"/>
      <c r="J896" s="25"/>
      <c r="L896" s="25"/>
      <c r="M896" s="25"/>
      <c r="N896" s="25"/>
    </row>
    <row r="897" spans="4:14" ht="14.25" customHeight="1">
      <c r="D897" s="25"/>
      <c r="F897" s="25"/>
      <c r="H897" s="25"/>
      <c r="J897" s="25"/>
      <c r="L897" s="25"/>
      <c r="M897" s="25"/>
      <c r="N897" s="25"/>
    </row>
    <row r="898" spans="4:14" ht="14.25" customHeight="1">
      <c r="D898" s="25"/>
      <c r="F898" s="25"/>
      <c r="H898" s="25"/>
      <c r="J898" s="25"/>
      <c r="L898" s="25"/>
      <c r="M898" s="25"/>
      <c r="N898" s="25"/>
    </row>
    <row r="899" spans="4:14" ht="14.25" customHeight="1">
      <c r="D899" s="25"/>
      <c r="F899" s="25"/>
      <c r="H899" s="25"/>
      <c r="J899" s="25"/>
      <c r="L899" s="25"/>
      <c r="M899" s="25"/>
      <c r="N899" s="25"/>
    </row>
    <row r="900" spans="4:14" ht="14.25" customHeight="1">
      <c r="D900" s="25"/>
      <c r="F900" s="25"/>
      <c r="H900" s="25"/>
      <c r="J900" s="25"/>
      <c r="L900" s="25"/>
      <c r="M900" s="25"/>
      <c r="N900" s="25"/>
    </row>
    <row r="901" spans="4:14" ht="14.25" customHeight="1">
      <c r="D901" s="25"/>
      <c r="F901" s="25"/>
      <c r="H901" s="25"/>
      <c r="J901" s="25"/>
      <c r="L901" s="25"/>
      <c r="M901" s="25"/>
      <c r="N901" s="25"/>
    </row>
    <row r="902" spans="4:14" ht="14.25" customHeight="1">
      <c r="D902" s="25"/>
      <c r="F902" s="25"/>
      <c r="H902" s="25"/>
      <c r="J902" s="25"/>
      <c r="L902" s="25"/>
      <c r="M902" s="25"/>
      <c r="N902" s="25"/>
    </row>
    <row r="903" spans="4:14" ht="14.25" customHeight="1">
      <c r="D903" s="25"/>
      <c r="F903" s="25"/>
      <c r="H903" s="25"/>
      <c r="J903" s="25"/>
      <c r="L903" s="25"/>
      <c r="M903" s="25"/>
      <c r="N903" s="25"/>
    </row>
    <row r="904" spans="4:14" ht="14.25" customHeight="1">
      <c r="D904" s="25"/>
      <c r="F904" s="25"/>
      <c r="H904" s="25"/>
      <c r="J904" s="25"/>
      <c r="L904" s="25"/>
      <c r="M904" s="25"/>
      <c r="N904" s="25"/>
    </row>
    <row r="905" spans="4:14" ht="14.25" customHeight="1">
      <c r="D905" s="25"/>
      <c r="F905" s="25"/>
      <c r="H905" s="25"/>
      <c r="J905" s="25"/>
      <c r="L905" s="25"/>
      <c r="M905" s="25"/>
      <c r="N905" s="25"/>
    </row>
    <row r="906" spans="4:14" ht="14.25" customHeight="1">
      <c r="D906" s="25"/>
      <c r="F906" s="25"/>
      <c r="H906" s="25"/>
      <c r="J906" s="25"/>
      <c r="L906" s="25"/>
      <c r="M906" s="25"/>
      <c r="N906" s="25"/>
    </row>
    <row r="907" spans="4:14" ht="14.25" customHeight="1">
      <c r="D907" s="25"/>
      <c r="F907" s="25"/>
      <c r="H907" s="25"/>
      <c r="J907" s="25"/>
      <c r="L907" s="25"/>
      <c r="M907" s="25"/>
      <c r="N907" s="25"/>
    </row>
    <row r="908" spans="4:14" ht="14.25" customHeight="1">
      <c r="D908" s="25"/>
      <c r="F908" s="25"/>
      <c r="H908" s="25"/>
      <c r="J908" s="25"/>
      <c r="L908" s="25"/>
      <c r="M908" s="25"/>
      <c r="N908" s="25"/>
    </row>
    <row r="909" spans="4:14" ht="14.25" customHeight="1">
      <c r="D909" s="25"/>
      <c r="F909" s="25"/>
      <c r="H909" s="25"/>
      <c r="J909" s="25"/>
      <c r="L909" s="25"/>
      <c r="M909" s="25"/>
      <c r="N909" s="25"/>
    </row>
    <row r="910" spans="4:14" ht="14.25" customHeight="1">
      <c r="D910" s="25"/>
      <c r="F910" s="25"/>
      <c r="H910" s="25"/>
      <c r="J910" s="25"/>
      <c r="L910" s="25"/>
      <c r="M910" s="25"/>
      <c r="N910" s="25"/>
    </row>
    <row r="911" spans="4:14" ht="14.25" customHeight="1">
      <c r="D911" s="25"/>
      <c r="F911" s="25"/>
      <c r="H911" s="25"/>
      <c r="J911" s="25"/>
      <c r="L911" s="25"/>
      <c r="M911" s="25"/>
      <c r="N911" s="25"/>
    </row>
    <row r="912" spans="4:14" ht="14.25" customHeight="1">
      <c r="D912" s="25"/>
      <c r="F912" s="25"/>
      <c r="H912" s="25"/>
      <c r="J912" s="25"/>
      <c r="L912" s="25"/>
      <c r="M912" s="25"/>
      <c r="N912" s="25"/>
    </row>
    <row r="913" spans="4:14" ht="14.25" customHeight="1">
      <c r="D913" s="25"/>
      <c r="F913" s="25"/>
      <c r="H913" s="25"/>
      <c r="J913" s="25"/>
      <c r="L913" s="25"/>
      <c r="M913" s="25"/>
      <c r="N913" s="25"/>
    </row>
    <row r="914" spans="4:14" ht="14.25" customHeight="1">
      <c r="D914" s="25"/>
      <c r="F914" s="25"/>
      <c r="H914" s="25"/>
      <c r="J914" s="25"/>
      <c r="L914" s="25"/>
      <c r="M914" s="25"/>
      <c r="N914" s="25"/>
    </row>
    <row r="915" spans="4:14" ht="14.25" customHeight="1">
      <c r="D915" s="25"/>
      <c r="F915" s="25"/>
      <c r="H915" s="25"/>
      <c r="J915" s="25"/>
      <c r="L915" s="25"/>
      <c r="M915" s="25"/>
      <c r="N915" s="25"/>
    </row>
    <row r="916" spans="4:14" ht="14.25" customHeight="1">
      <c r="D916" s="25"/>
      <c r="F916" s="25"/>
      <c r="H916" s="25"/>
      <c r="J916" s="25"/>
      <c r="L916" s="25"/>
      <c r="M916" s="25"/>
      <c r="N916" s="25"/>
    </row>
    <row r="917" spans="4:14" ht="14.25" customHeight="1">
      <c r="D917" s="25"/>
      <c r="F917" s="25"/>
      <c r="H917" s="25"/>
      <c r="J917" s="25"/>
      <c r="L917" s="25"/>
      <c r="M917" s="25"/>
      <c r="N917" s="25"/>
    </row>
    <row r="918" spans="4:14" ht="14.25" customHeight="1">
      <c r="D918" s="25"/>
      <c r="F918" s="25"/>
      <c r="H918" s="25"/>
      <c r="J918" s="25"/>
      <c r="L918" s="25"/>
      <c r="M918" s="25"/>
      <c r="N918" s="25"/>
    </row>
    <row r="919" spans="4:14" ht="14.25" customHeight="1">
      <c r="D919" s="25"/>
      <c r="F919" s="25"/>
      <c r="H919" s="25"/>
      <c r="J919" s="25"/>
      <c r="L919" s="25"/>
      <c r="M919" s="25"/>
      <c r="N919" s="25"/>
    </row>
    <row r="920" spans="4:14" ht="14.25" customHeight="1">
      <c r="D920" s="25"/>
      <c r="F920" s="25"/>
      <c r="H920" s="25"/>
      <c r="J920" s="25"/>
      <c r="L920" s="25"/>
      <c r="M920" s="25"/>
      <c r="N920" s="25"/>
    </row>
    <row r="921" spans="4:14" ht="14.25" customHeight="1">
      <c r="D921" s="25"/>
      <c r="F921" s="25"/>
      <c r="H921" s="25"/>
      <c r="J921" s="25"/>
      <c r="L921" s="25"/>
      <c r="M921" s="25"/>
      <c r="N921" s="25"/>
    </row>
    <row r="922" spans="4:14" ht="14.25" customHeight="1">
      <c r="D922" s="25"/>
      <c r="F922" s="25"/>
      <c r="H922" s="25"/>
      <c r="J922" s="25"/>
      <c r="L922" s="25"/>
      <c r="M922" s="25"/>
      <c r="N922" s="25"/>
    </row>
    <row r="923" spans="4:14" ht="14.25" customHeight="1">
      <c r="D923" s="25"/>
      <c r="F923" s="25"/>
      <c r="H923" s="25"/>
      <c r="J923" s="25"/>
      <c r="L923" s="25"/>
      <c r="M923" s="25"/>
      <c r="N923" s="25"/>
    </row>
    <row r="924" spans="4:14" ht="14.25" customHeight="1">
      <c r="D924" s="25"/>
      <c r="F924" s="25"/>
      <c r="H924" s="25"/>
      <c r="J924" s="25"/>
      <c r="L924" s="25"/>
      <c r="M924" s="25"/>
      <c r="N924" s="25"/>
    </row>
    <row r="925" spans="4:14" ht="14.25" customHeight="1">
      <c r="D925" s="25"/>
      <c r="F925" s="25"/>
      <c r="H925" s="25"/>
      <c r="J925" s="25"/>
      <c r="L925" s="25"/>
      <c r="M925" s="25"/>
      <c r="N925" s="25"/>
    </row>
    <row r="926" spans="4:14" ht="14.25" customHeight="1">
      <c r="D926" s="25"/>
      <c r="F926" s="25"/>
      <c r="H926" s="25"/>
      <c r="J926" s="25"/>
      <c r="L926" s="25"/>
      <c r="M926" s="25"/>
      <c r="N926" s="25"/>
    </row>
    <row r="927" spans="4:14" ht="14.25" customHeight="1">
      <c r="D927" s="25"/>
      <c r="F927" s="25"/>
      <c r="H927" s="25"/>
      <c r="J927" s="25"/>
      <c r="L927" s="25"/>
      <c r="M927" s="25"/>
      <c r="N927" s="25"/>
    </row>
    <row r="928" spans="4:14" ht="14.25" customHeight="1">
      <c r="D928" s="25"/>
      <c r="F928" s="25"/>
      <c r="H928" s="25"/>
      <c r="J928" s="25"/>
      <c r="L928" s="25"/>
      <c r="M928" s="25"/>
      <c r="N928" s="25"/>
    </row>
    <row r="929" spans="4:14" ht="14.25" customHeight="1">
      <c r="D929" s="25"/>
      <c r="F929" s="25"/>
      <c r="H929" s="25"/>
      <c r="J929" s="25"/>
      <c r="L929" s="25"/>
      <c r="M929" s="25"/>
      <c r="N929" s="25"/>
    </row>
    <row r="930" spans="4:14" ht="14.25" customHeight="1">
      <c r="D930" s="25"/>
      <c r="F930" s="25"/>
      <c r="H930" s="25"/>
      <c r="J930" s="25"/>
      <c r="L930" s="25"/>
      <c r="M930" s="25"/>
      <c r="N930" s="25"/>
    </row>
    <row r="931" spans="4:14" ht="14.25" customHeight="1">
      <c r="D931" s="25"/>
      <c r="F931" s="25"/>
      <c r="H931" s="25"/>
      <c r="J931" s="25"/>
      <c r="L931" s="25"/>
      <c r="M931" s="25"/>
      <c r="N931" s="25"/>
    </row>
    <row r="932" spans="4:14" ht="14.25" customHeight="1">
      <c r="D932" s="25"/>
      <c r="F932" s="25"/>
      <c r="H932" s="25"/>
      <c r="J932" s="25"/>
      <c r="L932" s="25"/>
      <c r="M932" s="25"/>
      <c r="N932" s="25"/>
    </row>
    <row r="933" spans="4:14" ht="14.25" customHeight="1">
      <c r="D933" s="25"/>
      <c r="F933" s="25"/>
      <c r="H933" s="25"/>
      <c r="J933" s="25"/>
      <c r="L933" s="25"/>
      <c r="M933" s="25"/>
      <c r="N933" s="25"/>
    </row>
    <row r="934" spans="4:14" ht="14.25" customHeight="1">
      <c r="D934" s="25"/>
      <c r="F934" s="25"/>
      <c r="H934" s="25"/>
      <c r="J934" s="25"/>
      <c r="L934" s="25"/>
      <c r="M934" s="25"/>
      <c r="N934" s="25"/>
    </row>
    <row r="935" spans="4:14" ht="14.25" customHeight="1">
      <c r="D935" s="25"/>
      <c r="F935" s="25"/>
      <c r="H935" s="25"/>
      <c r="J935" s="25"/>
      <c r="L935" s="25"/>
      <c r="M935" s="25"/>
      <c r="N935" s="25"/>
    </row>
    <row r="936" spans="4:14" ht="14.25" customHeight="1">
      <c r="D936" s="25"/>
      <c r="F936" s="25"/>
      <c r="H936" s="25"/>
      <c r="J936" s="25"/>
      <c r="L936" s="25"/>
      <c r="M936" s="25"/>
      <c r="N936" s="25"/>
    </row>
    <row r="937" spans="4:14" ht="14.25" customHeight="1">
      <c r="D937" s="25"/>
      <c r="F937" s="25"/>
      <c r="H937" s="25"/>
      <c r="J937" s="25"/>
      <c r="L937" s="25"/>
      <c r="M937" s="25"/>
      <c r="N937" s="25"/>
    </row>
    <row r="938" spans="4:14" ht="14.25" customHeight="1">
      <c r="D938" s="25"/>
      <c r="F938" s="25"/>
      <c r="H938" s="25"/>
      <c r="J938" s="25"/>
      <c r="L938" s="25"/>
      <c r="M938" s="25"/>
      <c r="N938" s="25"/>
    </row>
    <row r="939" spans="4:14" ht="14.25" customHeight="1">
      <c r="D939" s="25"/>
      <c r="F939" s="25"/>
      <c r="H939" s="25"/>
      <c r="J939" s="25"/>
      <c r="L939" s="25"/>
      <c r="M939" s="25"/>
      <c r="N939" s="25"/>
    </row>
    <row r="940" spans="4:14" ht="14.25" customHeight="1">
      <c r="D940" s="25"/>
      <c r="F940" s="25"/>
      <c r="H940" s="25"/>
      <c r="J940" s="25"/>
      <c r="L940" s="25"/>
      <c r="M940" s="25"/>
      <c r="N940" s="25"/>
    </row>
    <row r="941" spans="4:14" ht="14.25" customHeight="1">
      <c r="D941" s="25"/>
      <c r="F941" s="25"/>
      <c r="H941" s="25"/>
      <c r="J941" s="25"/>
      <c r="L941" s="25"/>
      <c r="M941" s="25"/>
      <c r="N941" s="25"/>
    </row>
    <row r="942" spans="4:14" ht="14.25" customHeight="1">
      <c r="D942" s="25"/>
      <c r="F942" s="25"/>
      <c r="H942" s="25"/>
      <c r="J942" s="25"/>
      <c r="L942" s="25"/>
      <c r="M942" s="25"/>
      <c r="N942" s="25"/>
    </row>
    <row r="943" spans="4:14" ht="14.25" customHeight="1">
      <c r="D943" s="25"/>
      <c r="F943" s="25"/>
      <c r="H943" s="25"/>
      <c r="J943" s="25"/>
      <c r="L943" s="25"/>
      <c r="M943" s="25"/>
      <c r="N943" s="25"/>
    </row>
    <row r="944" spans="4:14" ht="14.25" customHeight="1">
      <c r="D944" s="25"/>
      <c r="F944" s="25"/>
      <c r="H944" s="25"/>
      <c r="J944" s="25"/>
      <c r="L944" s="25"/>
      <c r="M944" s="25"/>
      <c r="N944" s="25"/>
    </row>
    <row r="945" spans="4:14" ht="14.25" customHeight="1">
      <c r="D945" s="25"/>
      <c r="F945" s="25"/>
      <c r="H945" s="25"/>
      <c r="J945" s="25"/>
      <c r="L945" s="25"/>
      <c r="M945" s="25"/>
      <c r="N945" s="25"/>
    </row>
    <row r="946" spans="4:14" ht="14.25" customHeight="1">
      <c r="D946" s="25"/>
      <c r="F946" s="25"/>
      <c r="H946" s="25"/>
      <c r="J946" s="25"/>
      <c r="L946" s="25"/>
      <c r="M946" s="25"/>
      <c r="N946" s="25"/>
    </row>
    <row r="947" spans="4:14" ht="14.25" customHeight="1">
      <c r="D947" s="25"/>
      <c r="F947" s="25"/>
      <c r="H947" s="25"/>
      <c r="J947" s="25"/>
      <c r="L947" s="25"/>
      <c r="M947" s="25"/>
      <c r="N947" s="25"/>
    </row>
    <row r="948" spans="4:14" ht="14.25" customHeight="1">
      <c r="D948" s="25"/>
      <c r="F948" s="25"/>
      <c r="H948" s="25"/>
      <c r="J948" s="25"/>
      <c r="L948" s="25"/>
      <c r="M948" s="25"/>
      <c r="N948" s="25"/>
    </row>
    <row r="949" spans="4:14" ht="14.25" customHeight="1">
      <c r="D949" s="25"/>
      <c r="F949" s="25"/>
      <c r="H949" s="25"/>
      <c r="J949" s="25"/>
      <c r="L949" s="25"/>
      <c r="M949" s="25"/>
      <c r="N949" s="25"/>
    </row>
    <row r="950" spans="4:14" ht="14.25" customHeight="1">
      <c r="D950" s="25"/>
      <c r="F950" s="25"/>
      <c r="H950" s="25"/>
      <c r="J950" s="25"/>
      <c r="L950" s="25"/>
      <c r="M950" s="25"/>
      <c r="N950" s="25"/>
    </row>
    <row r="951" spans="4:14" ht="14.25" customHeight="1">
      <c r="D951" s="25"/>
      <c r="F951" s="25"/>
      <c r="H951" s="25"/>
      <c r="J951" s="25"/>
      <c r="L951" s="25"/>
      <c r="M951" s="25"/>
      <c r="N951" s="25"/>
    </row>
    <row r="952" spans="4:14" ht="14.25" customHeight="1">
      <c r="D952" s="25"/>
      <c r="F952" s="25"/>
      <c r="H952" s="25"/>
      <c r="J952" s="25"/>
      <c r="L952" s="25"/>
      <c r="M952" s="25"/>
      <c r="N952" s="25"/>
    </row>
    <row r="953" spans="4:14" ht="14.25" customHeight="1">
      <c r="D953" s="25"/>
      <c r="F953" s="25"/>
      <c r="H953" s="25"/>
      <c r="J953" s="25"/>
      <c r="L953" s="25"/>
      <c r="M953" s="25"/>
      <c r="N953" s="25"/>
    </row>
    <row r="954" spans="4:14" ht="14.25" customHeight="1">
      <c r="D954" s="25"/>
      <c r="F954" s="25"/>
      <c r="H954" s="25"/>
      <c r="J954" s="25"/>
      <c r="L954" s="25"/>
      <c r="M954" s="25"/>
      <c r="N954" s="25"/>
    </row>
    <row r="955" spans="4:14" ht="14.25" customHeight="1">
      <c r="D955" s="25"/>
      <c r="F955" s="25"/>
      <c r="H955" s="25"/>
      <c r="J955" s="25"/>
      <c r="L955" s="25"/>
      <c r="M955" s="25"/>
      <c r="N955" s="25"/>
    </row>
    <row r="956" spans="4:14" ht="14.25" customHeight="1">
      <c r="D956" s="25"/>
      <c r="F956" s="25"/>
      <c r="H956" s="25"/>
      <c r="J956" s="25"/>
      <c r="L956" s="25"/>
      <c r="M956" s="25"/>
      <c r="N956" s="25"/>
    </row>
    <row r="957" spans="4:14" ht="14.25" customHeight="1">
      <c r="D957" s="25"/>
      <c r="F957" s="25"/>
      <c r="H957" s="25"/>
      <c r="J957" s="25"/>
      <c r="L957" s="25"/>
      <c r="M957" s="25"/>
      <c r="N957" s="25"/>
    </row>
    <row r="958" spans="4:14" ht="14.25" customHeight="1">
      <c r="D958" s="25"/>
      <c r="F958" s="25"/>
      <c r="H958" s="25"/>
      <c r="J958" s="25"/>
      <c r="L958" s="25"/>
      <c r="M958" s="25"/>
      <c r="N958" s="25"/>
    </row>
    <row r="959" spans="4:14" ht="14.25" customHeight="1">
      <c r="D959" s="25"/>
      <c r="F959" s="25"/>
      <c r="H959" s="25"/>
      <c r="J959" s="25"/>
      <c r="L959" s="25"/>
      <c r="M959" s="25"/>
      <c r="N959" s="25"/>
    </row>
    <row r="960" spans="4:14" ht="14.25" customHeight="1">
      <c r="D960" s="25"/>
      <c r="F960" s="25"/>
      <c r="H960" s="25"/>
      <c r="J960" s="25"/>
      <c r="L960" s="25"/>
      <c r="M960" s="25"/>
      <c r="N960" s="25"/>
    </row>
    <row r="961" spans="4:14" ht="14.25" customHeight="1">
      <c r="D961" s="25"/>
      <c r="F961" s="25"/>
      <c r="H961" s="25"/>
      <c r="J961" s="25"/>
      <c r="L961" s="25"/>
      <c r="M961" s="25"/>
      <c r="N961" s="25"/>
    </row>
    <row r="962" spans="4:14" ht="14.25" customHeight="1">
      <c r="D962" s="25"/>
      <c r="F962" s="25"/>
      <c r="H962" s="25"/>
      <c r="J962" s="25"/>
      <c r="L962" s="25"/>
      <c r="M962" s="25"/>
      <c r="N962" s="25"/>
    </row>
    <row r="963" spans="4:14" ht="14.25" customHeight="1">
      <c r="D963" s="25"/>
      <c r="F963" s="25"/>
      <c r="H963" s="25"/>
      <c r="J963" s="25"/>
      <c r="L963" s="25"/>
      <c r="M963" s="25"/>
      <c r="N963" s="25"/>
    </row>
    <row r="964" spans="4:14" ht="14.25" customHeight="1">
      <c r="D964" s="25"/>
      <c r="F964" s="25"/>
      <c r="H964" s="25"/>
      <c r="J964" s="25"/>
      <c r="L964" s="25"/>
      <c r="M964" s="25"/>
      <c r="N964" s="25"/>
    </row>
    <row r="965" spans="4:14" ht="14.25" customHeight="1">
      <c r="D965" s="25"/>
      <c r="F965" s="25"/>
      <c r="H965" s="25"/>
      <c r="J965" s="25"/>
      <c r="L965" s="25"/>
      <c r="M965" s="25"/>
      <c r="N965" s="25"/>
    </row>
    <row r="966" spans="4:14" ht="14.25" customHeight="1">
      <c r="D966" s="25"/>
      <c r="F966" s="25"/>
      <c r="H966" s="25"/>
      <c r="J966" s="25"/>
      <c r="L966" s="25"/>
      <c r="M966" s="25"/>
      <c r="N966" s="25"/>
    </row>
    <row r="967" spans="4:14" ht="14.25" customHeight="1">
      <c r="D967" s="25"/>
      <c r="F967" s="25"/>
      <c r="H967" s="25"/>
      <c r="J967" s="25"/>
      <c r="L967" s="25"/>
      <c r="M967" s="25"/>
      <c r="N967" s="25"/>
    </row>
    <row r="968" spans="4:14" ht="14.25" customHeight="1">
      <c r="D968" s="25"/>
      <c r="F968" s="25"/>
      <c r="H968" s="25"/>
      <c r="J968" s="25"/>
      <c r="L968" s="25"/>
      <c r="M968" s="25"/>
      <c r="N968" s="25"/>
    </row>
    <row r="969" spans="4:14" ht="14.25" customHeight="1">
      <c r="D969" s="25"/>
      <c r="F969" s="25"/>
      <c r="H969" s="25"/>
      <c r="J969" s="25"/>
      <c r="L969" s="25"/>
      <c r="M969" s="25"/>
      <c r="N969" s="25"/>
    </row>
    <row r="970" spans="4:14" ht="14.25" customHeight="1">
      <c r="D970" s="25"/>
      <c r="F970" s="25"/>
      <c r="H970" s="25"/>
      <c r="J970" s="25"/>
      <c r="L970" s="25"/>
      <c r="M970" s="25"/>
      <c r="N970" s="25"/>
    </row>
    <row r="971" spans="4:14" ht="14.25" customHeight="1">
      <c r="D971" s="25"/>
      <c r="F971" s="25"/>
      <c r="H971" s="25"/>
      <c r="J971" s="25"/>
      <c r="L971" s="25"/>
      <c r="M971" s="25"/>
      <c r="N971" s="25"/>
    </row>
    <row r="972" spans="4:14" ht="14.25" customHeight="1">
      <c r="D972" s="25"/>
      <c r="F972" s="25"/>
      <c r="H972" s="25"/>
      <c r="J972" s="25"/>
      <c r="L972" s="25"/>
      <c r="M972" s="25"/>
      <c r="N972" s="25"/>
    </row>
    <row r="973" spans="4:14" ht="14.25" customHeight="1">
      <c r="D973" s="25"/>
      <c r="F973" s="25"/>
      <c r="H973" s="25"/>
      <c r="J973" s="25"/>
      <c r="L973" s="25"/>
      <c r="M973" s="25"/>
      <c r="N973" s="25"/>
    </row>
    <row r="974" spans="4:14" ht="14.25" customHeight="1">
      <c r="D974" s="25"/>
      <c r="F974" s="25"/>
      <c r="H974" s="25"/>
      <c r="J974" s="25"/>
      <c r="L974" s="25"/>
      <c r="M974" s="25"/>
      <c r="N974" s="25"/>
    </row>
    <row r="975" spans="4:14" ht="14.25" customHeight="1">
      <c r="D975" s="25"/>
      <c r="F975" s="25"/>
      <c r="H975" s="25"/>
      <c r="J975" s="25"/>
      <c r="L975" s="25"/>
      <c r="M975" s="25"/>
      <c r="N975" s="25"/>
    </row>
    <row r="976" spans="4:14" ht="14.25" customHeight="1">
      <c r="D976" s="25"/>
      <c r="F976" s="25"/>
      <c r="H976" s="25"/>
      <c r="J976" s="25"/>
      <c r="L976" s="25"/>
      <c r="M976" s="25"/>
      <c r="N976" s="25"/>
    </row>
    <row r="977" spans="4:14" ht="14.25" customHeight="1">
      <c r="D977" s="25"/>
      <c r="F977" s="25"/>
      <c r="H977" s="25"/>
      <c r="J977" s="25"/>
      <c r="L977" s="25"/>
      <c r="M977" s="25"/>
      <c r="N977" s="25"/>
    </row>
    <row r="978" spans="4:14" ht="14.25" customHeight="1">
      <c r="D978" s="25"/>
      <c r="F978" s="25"/>
      <c r="H978" s="25"/>
      <c r="J978" s="25"/>
      <c r="L978" s="25"/>
      <c r="M978" s="25"/>
      <c r="N978" s="25"/>
    </row>
    <row r="979" spans="4:14" ht="14.25" customHeight="1">
      <c r="D979" s="25"/>
      <c r="F979" s="25"/>
      <c r="H979" s="25"/>
      <c r="J979" s="25"/>
      <c r="L979" s="25"/>
      <c r="M979" s="25"/>
      <c r="N979" s="25"/>
    </row>
    <row r="980" spans="4:14" ht="14.25" customHeight="1">
      <c r="D980" s="25"/>
      <c r="F980" s="25"/>
      <c r="H980" s="25"/>
      <c r="J980" s="25"/>
      <c r="L980" s="25"/>
      <c r="M980" s="25"/>
      <c r="N980" s="25"/>
    </row>
    <row r="981" spans="4:14" ht="14.25" customHeight="1">
      <c r="D981" s="25"/>
      <c r="F981" s="25"/>
      <c r="H981" s="25"/>
      <c r="J981" s="25"/>
      <c r="L981" s="25"/>
      <c r="M981" s="25"/>
      <c r="N981" s="25"/>
    </row>
    <row r="982" spans="4:14" ht="14.25" customHeight="1">
      <c r="D982" s="25"/>
      <c r="F982" s="25"/>
      <c r="H982" s="25"/>
      <c r="J982" s="25"/>
      <c r="L982" s="25"/>
      <c r="M982" s="25"/>
      <c r="N982" s="25"/>
    </row>
    <row r="983" spans="4:14" ht="14.25" customHeight="1">
      <c r="D983" s="25"/>
      <c r="F983" s="25"/>
      <c r="H983" s="25"/>
      <c r="J983" s="25"/>
      <c r="L983" s="25"/>
      <c r="M983" s="25"/>
      <c r="N983" s="25"/>
    </row>
    <row r="984" spans="4:14" ht="14.25" customHeight="1">
      <c r="D984" s="25"/>
      <c r="F984" s="25"/>
      <c r="H984" s="25"/>
      <c r="J984" s="25"/>
      <c r="L984" s="25"/>
      <c r="M984" s="25"/>
      <c r="N984" s="25"/>
    </row>
    <row r="985" spans="4:14" ht="14.25" customHeight="1">
      <c r="D985" s="25"/>
      <c r="F985" s="25"/>
      <c r="H985" s="25"/>
      <c r="J985" s="25"/>
      <c r="L985" s="25"/>
      <c r="M985" s="25"/>
      <c r="N985" s="25"/>
    </row>
    <row r="986" spans="4:14" ht="14.25" customHeight="1">
      <c r="D986" s="25"/>
      <c r="F986" s="25"/>
      <c r="H986" s="25"/>
      <c r="J986" s="25"/>
      <c r="L986" s="25"/>
      <c r="M986" s="25"/>
      <c r="N986" s="25"/>
    </row>
    <row r="987" spans="4:14" ht="14.25" customHeight="1">
      <c r="D987" s="25"/>
      <c r="F987" s="25"/>
      <c r="H987" s="25"/>
      <c r="J987" s="25"/>
      <c r="L987" s="25"/>
      <c r="M987" s="25"/>
      <c r="N987" s="25"/>
    </row>
    <row r="988" spans="4:14" ht="14.25" customHeight="1">
      <c r="D988" s="25"/>
      <c r="F988" s="25"/>
      <c r="H988" s="25"/>
      <c r="J988" s="25"/>
      <c r="L988" s="25"/>
      <c r="M988" s="25"/>
      <c r="N988" s="25"/>
    </row>
    <row r="989" spans="4:14" ht="14.25" customHeight="1">
      <c r="D989" s="25"/>
      <c r="F989" s="25"/>
      <c r="H989" s="25"/>
      <c r="J989" s="25"/>
      <c r="L989" s="25"/>
      <c r="M989" s="25"/>
      <c r="N989" s="25"/>
    </row>
    <row r="990" spans="4:14" ht="14.25" customHeight="1">
      <c r="D990" s="25"/>
      <c r="F990" s="25"/>
      <c r="H990" s="25"/>
      <c r="J990" s="25"/>
      <c r="L990" s="25"/>
      <c r="M990" s="25"/>
      <c r="N990" s="25"/>
    </row>
    <row r="991" spans="4:14" ht="14.25" customHeight="1">
      <c r="D991" s="25"/>
      <c r="F991" s="25"/>
      <c r="H991" s="25"/>
      <c r="J991" s="25"/>
      <c r="L991" s="25"/>
      <c r="M991" s="25"/>
      <c r="N991" s="25"/>
    </row>
    <row r="992" spans="4:14" ht="14.25" customHeight="1">
      <c r="D992" s="25"/>
      <c r="F992" s="25"/>
      <c r="H992" s="25"/>
      <c r="J992" s="25"/>
      <c r="L992" s="25"/>
      <c r="M992" s="25"/>
      <c r="N992" s="25"/>
    </row>
    <row r="993" spans="4:14" ht="14.25" customHeight="1">
      <c r="D993" s="25"/>
      <c r="F993" s="25"/>
      <c r="H993" s="25"/>
      <c r="J993" s="25"/>
      <c r="L993" s="25"/>
      <c r="M993" s="25"/>
      <c r="N993" s="25"/>
    </row>
    <row r="994" spans="4:14" ht="14.25" customHeight="1">
      <c r="D994" s="25"/>
      <c r="F994" s="25"/>
      <c r="H994" s="25"/>
      <c r="J994" s="25"/>
      <c r="L994" s="25"/>
      <c r="M994" s="25"/>
      <c r="N994" s="25"/>
    </row>
    <row r="995" spans="4:14" ht="14.25" customHeight="1">
      <c r="D995" s="25"/>
      <c r="F995" s="25"/>
      <c r="H995" s="25"/>
      <c r="J995" s="25"/>
      <c r="L995" s="25"/>
      <c r="M995" s="25"/>
      <c r="N995" s="25"/>
    </row>
    <row r="996" spans="4:14" ht="14.25" customHeight="1">
      <c r="D996" s="25"/>
      <c r="F996" s="25"/>
      <c r="H996" s="25"/>
      <c r="J996" s="25"/>
      <c r="L996" s="25"/>
      <c r="M996" s="25"/>
      <c r="N996" s="25"/>
    </row>
    <row r="997" spans="4:14" ht="14.25" customHeight="1">
      <c r="D997" s="25"/>
      <c r="F997" s="25"/>
      <c r="H997" s="25"/>
      <c r="J997" s="25"/>
      <c r="L997" s="25"/>
      <c r="M997" s="25"/>
      <c r="N997" s="25"/>
    </row>
    <row r="998" spans="4:14" ht="14.25" customHeight="1">
      <c r="D998" s="25"/>
      <c r="F998" s="25"/>
      <c r="H998" s="25"/>
      <c r="J998" s="25"/>
      <c r="L998" s="25"/>
      <c r="M998" s="25"/>
      <c r="N998" s="25"/>
    </row>
    <row r="999" spans="4:14" ht="14.25" customHeight="1">
      <c r="D999" s="25"/>
      <c r="F999" s="25"/>
      <c r="H999" s="25"/>
      <c r="J999" s="25"/>
      <c r="L999" s="25"/>
      <c r="M999" s="25"/>
      <c r="N999" s="25"/>
    </row>
    <row r="1000" spans="4:14" ht="14.25" customHeight="1">
      <c r="D1000" s="25"/>
      <c r="F1000" s="25"/>
      <c r="H1000" s="25"/>
      <c r="J1000" s="25"/>
      <c r="L1000" s="25"/>
      <c r="M1000" s="25"/>
      <c r="N1000" s="25"/>
    </row>
  </sheetData>
  <mergeCells count="10">
    <mergeCell ref="R1:S1"/>
    <mergeCell ref="T1:U1"/>
    <mergeCell ref="Y1:AD1"/>
    <mergeCell ref="D1:E1"/>
    <mergeCell ref="F1:G1"/>
    <mergeCell ref="H1:I1"/>
    <mergeCell ref="J1:K1"/>
    <mergeCell ref="L1:M1"/>
    <mergeCell ref="N1:O1"/>
    <mergeCell ref="P1:Q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000"/>
  <sheetViews>
    <sheetView workbookViewId="0"/>
  </sheetViews>
  <sheetFormatPr defaultColWidth="12.6640625" defaultRowHeight="15" customHeight="1"/>
  <cols>
    <col min="1" max="3" width="8.6640625" customWidth="1"/>
    <col min="4" max="4" width="11.109375" customWidth="1"/>
    <col min="5" max="11" width="10.109375" customWidth="1"/>
    <col min="12" max="13" width="8.6640625" customWidth="1"/>
    <col min="14" max="14" width="8.88671875" customWidth="1"/>
    <col min="15" max="20" width="10.109375" customWidth="1"/>
    <col min="21" max="22" width="8.6640625" customWidth="1"/>
    <col min="23" max="23" width="12.109375" customWidth="1"/>
    <col min="24" max="26" width="8.6640625" customWidth="1"/>
  </cols>
  <sheetData>
    <row r="1" spans="1:23" ht="14.25" customHeight="1">
      <c r="A1" s="1" t="s">
        <v>69</v>
      </c>
      <c r="B1" s="1" t="s">
        <v>70</v>
      </c>
      <c r="C1" s="1" t="s">
        <v>71</v>
      </c>
      <c r="D1" s="1" t="s">
        <v>50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58</v>
      </c>
    </row>
    <row r="2" spans="1:23" ht="14.25" customHeight="1">
      <c r="A2" s="84">
        <v>44927</v>
      </c>
      <c r="B2" s="84" t="str">
        <f t="shared" ref="B2:B37" si="0">TEXT(A2,"mmm")</f>
        <v>Jan</v>
      </c>
      <c r="C2" s="1">
        <f t="shared" ref="C2:C37" si="1">YEAR(A2)</f>
        <v>2023</v>
      </c>
      <c r="D2" s="12">
        <v>5253.5</v>
      </c>
      <c r="E2" s="12">
        <v>3318</v>
      </c>
      <c r="F2" s="12">
        <v>829.5</v>
      </c>
      <c r="G2" s="12"/>
      <c r="H2" s="14">
        <v>275</v>
      </c>
      <c r="I2" s="12">
        <v>5642</v>
      </c>
      <c r="J2" s="12"/>
      <c r="K2" s="12">
        <v>1009</v>
      </c>
      <c r="L2" s="12"/>
      <c r="M2" s="12"/>
      <c r="N2" s="12"/>
      <c r="O2" s="12"/>
      <c r="P2" s="12"/>
      <c r="Q2" s="12"/>
      <c r="R2" s="12"/>
      <c r="S2" s="12"/>
      <c r="T2" s="12">
        <v>1716.5</v>
      </c>
      <c r="U2" s="12"/>
      <c r="V2" s="12"/>
      <c r="W2" s="12">
        <f t="shared" ref="W2:W35" si="2">SUM(D2:V2)</f>
        <v>18043.5</v>
      </c>
    </row>
    <row r="3" spans="1:23" ht="14.25" customHeight="1">
      <c r="A3" s="84">
        <v>44958</v>
      </c>
      <c r="B3" s="84" t="str">
        <f t="shared" si="0"/>
        <v>Feb</v>
      </c>
      <c r="C3" s="1">
        <f t="shared" si="1"/>
        <v>2023</v>
      </c>
      <c r="D3" s="14">
        <v>2765</v>
      </c>
      <c r="E3" s="12"/>
      <c r="F3" s="14"/>
      <c r="G3" s="12"/>
      <c r="H3" s="12"/>
      <c r="I3" s="12">
        <v>6743</v>
      </c>
      <c r="J3" s="12"/>
      <c r="K3" s="12">
        <v>627.5</v>
      </c>
      <c r="L3" s="12"/>
      <c r="M3" s="12"/>
      <c r="N3" s="12"/>
      <c r="O3" s="12"/>
      <c r="P3" s="12"/>
      <c r="Q3" s="12"/>
      <c r="R3" s="12"/>
      <c r="S3" s="12"/>
      <c r="T3" s="12">
        <v>220.5</v>
      </c>
      <c r="U3" s="12">
        <v>44</v>
      </c>
      <c r="V3" s="12"/>
      <c r="W3" s="12">
        <f t="shared" si="2"/>
        <v>10400</v>
      </c>
    </row>
    <row r="4" spans="1:23" ht="14.25" customHeight="1">
      <c r="A4" s="84">
        <v>44986</v>
      </c>
      <c r="B4" s="84" t="str">
        <f t="shared" si="0"/>
        <v>Mar</v>
      </c>
      <c r="C4" s="1">
        <f t="shared" si="1"/>
        <v>2023</v>
      </c>
      <c r="D4" s="14">
        <v>4424</v>
      </c>
      <c r="E4" s="14">
        <v>3595</v>
      </c>
      <c r="F4" s="12"/>
      <c r="G4" s="14">
        <v>1106</v>
      </c>
      <c r="H4" s="14">
        <v>425</v>
      </c>
      <c r="I4" s="12">
        <v>5878</v>
      </c>
      <c r="J4" s="12"/>
      <c r="K4" s="12">
        <v>490</v>
      </c>
      <c r="L4" s="12"/>
      <c r="M4" s="12"/>
      <c r="N4" s="12">
        <v>93</v>
      </c>
      <c r="O4" s="12"/>
      <c r="P4" s="12"/>
      <c r="Q4" s="12"/>
      <c r="R4" s="12"/>
      <c r="S4" s="12">
        <v>53</v>
      </c>
      <c r="T4" s="12"/>
      <c r="U4" s="12"/>
      <c r="V4" s="12"/>
      <c r="W4" s="12">
        <f t="shared" si="2"/>
        <v>16064</v>
      </c>
    </row>
    <row r="5" spans="1:23" ht="14.25" customHeight="1">
      <c r="A5" s="84">
        <v>45017</v>
      </c>
      <c r="B5" s="84" t="str">
        <f t="shared" si="0"/>
        <v>Apr</v>
      </c>
      <c r="C5" s="1">
        <f t="shared" si="1"/>
        <v>2023</v>
      </c>
      <c r="D5" s="12">
        <v>2212</v>
      </c>
      <c r="E5" s="12"/>
      <c r="F5" s="1">
        <v>0</v>
      </c>
      <c r="G5" s="12">
        <v>-829.5</v>
      </c>
      <c r="H5" s="12">
        <v>110</v>
      </c>
      <c r="I5" s="12">
        <v>4186.5</v>
      </c>
      <c r="J5" s="12"/>
      <c r="K5" s="12">
        <v>418.5</v>
      </c>
      <c r="L5" s="12"/>
      <c r="M5" s="12"/>
      <c r="N5" s="12">
        <v>684.5</v>
      </c>
      <c r="O5" s="12"/>
      <c r="P5" s="12"/>
      <c r="Q5" s="12"/>
      <c r="R5" s="12">
        <v>31</v>
      </c>
      <c r="S5" s="12">
        <v>631.5</v>
      </c>
      <c r="T5" s="12"/>
      <c r="U5" s="12"/>
      <c r="V5" s="12"/>
      <c r="W5" s="12">
        <f t="shared" si="2"/>
        <v>7444.5</v>
      </c>
    </row>
    <row r="6" spans="1:23" ht="14.25" customHeight="1">
      <c r="A6" s="84">
        <v>45047</v>
      </c>
      <c r="B6" s="84" t="str">
        <f t="shared" si="0"/>
        <v>May</v>
      </c>
      <c r="C6" s="1">
        <f t="shared" si="1"/>
        <v>2023</v>
      </c>
      <c r="D6" s="12">
        <v>3318</v>
      </c>
      <c r="E6" s="12">
        <v>3494.5</v>
      </c>
      <c r="F6" s="12"/>
      <c r="G6" s="12"/>
      <c r="H6" s="12">
        <v>250</v>
      </c>
      <c r="I6" s="12">
        <v>4997.5</v>
      </c>
      <c r="J6" s="12"/>
      <c r="K6" s="12">
        <v>220</v>
      </c>
      <c r="L6" s="12"/>
      <c r="M6" s="12"/>
      <c r="N6" s="12">
        <v>772.5</v>
      </c>
      <c r="O6" s="12"/>
      <c r="P6" s="12"/>
      <c r="Q6" s="12"/>
      <c r="R6" s="12">
        <v>344</v>
      </c>
      <c r="S6" s="12"/>
      <c r="T6" s="12"/>
      <c r="U6" s="12"/>
      <c r="V6" s="12"/>
      <c r="W6" s="12">
        <f t="shared" si="2"/>
        <v>13396.5</v>
      </c>
    </row>
    <row r="7" spans="1:23" ht="14.25" customHeight="1">
      <c r="A7" s="84">
        <v>45078</v>
      </c>
      <c r="B7" s="84" t="str">
        <f t="shared" si="0"/>
        <v>Jun</v>
      </c>
      <c r="C7" s="1">
        <f t="shared" si="1"/>
        <v>2023</v>
      </c>
      <c r="D7" s="12">
        <v>2212</v>
      </c>
      <c r="E7" s="12"/>
      <c r="F7" s="12">
        <v>276.5</v>
      </c>
      <c r="G7" s="12"/>
      <c r="H7" s="12">
        <v>70</v>
      </c>
      <c r="I7" s="12">
        <v>6412</v>
      </c>
      <c r="J7" s="12"/>
      <c r="K7" s="12">
        <v>0</v>
      </c>
      <c r="L7" s="12"/>
      <c r="M7" s="12"/>
      <c r="N7" s="12">
        <v>481.5</v>
      </c>
      <c r="O7" s="12"/>
      <c r="P7" s="12"/>
      <c r="Q7" s="12"/>
      <c r="R7" s="12"/>
      <c r="S7" s="12"/>
      <c r="T7" s="12"/>
      <c r="U7" s="12">
        <v>14</v>
      </c>
      <c r="V7" s="12"/>
      <c r="W7" s="12">
        <f t="shared" si="2"/>
        <v>9466</v>
      </c>
    </row>
    <row r="8" spans="1:23" ht="14.25" customHeight="1">
      <c r="A8" s="84">
        <v>45108</v>
      </c>
      <c r="B8" s="84" t="str">
        <f t="shared" si="0"/>
        <v>Jul</v>
      </c>
      <c r="C8" s="1">
        <f t="shared" si="1"/>
        <v>2023</v>
      </c>
      <c r="D8" s="12">
        <v>1935.5</v>
      </c>
      <c r="E8" s="12">
        <v>2212</v>
      </c>
      <c r="F8" s="12">
        <v>1106</v>
      </c>
      <c r="G8" s="12"/>
      <c r="H8" s="12">
        <v>90</v>
      </c>
      <c r="I8" s="12">
        <v>5599</v>
      </c>
      <c r="J8" s="12"/>
      <c r="K8" s="12">
        <v>393.5</v>
      </c>
      <c r="L8" s="12"/>
      <c r="M8" s="12"/>
      <c r="N8" s="12">
        <v>608</v>
      </c>
      <c r="O8" s="12"/>
      <c r="P8" s="12"/>
      <c r="Q8" s="12"/>
      <c r="R8" s="12"/>
      <c r="S8" s="12"/>
      <c r="T8" s="12"/>
      <c r="U8" s="12">
        <v>885.8</v>
      </c>
      <c r="V8" s="12"/>
      <c r="W8" s="12">
        <f t="shared" si="2"/>
        <v>12829.8</v>
      </c>
    </row>
    <row r="9" spans="1:23" ht="14.25" customHeight="1">
      <c r="A9" s="84">
        <v>45139</v>
      </c>
      <c r="B9" s="84" t="str">
        <f t="shared" si="0"/>
        <v>Aug</v>
      </c>
      <c r="C9" s="1">
        <f t="shared" si="1"/>
        <v>2023</v>
      </c>
      <c r="D9" s="12">
        <v>4146</v>
      </c>
      <c r="E9" s="12">
        <v>1106</v>
      </c>
      <c r="F9" s="12">
        <v>829.5</v>
      </c>
      <c r="G9" s="12"/>
      <c r="H9" s="12"/>
      <c r="I9" s="12">
        <v>5097.5</v>
      </c>
      <c r="J9" s="12"/>
      <c r="K9" s="12">
        <v>401</v>
      </c>
      <c r="L9" s="12"/>
      <c r="M9" s="12"/>
      <c r="N9" s="12">
        <v>403.5</v>
      </c>
      <c r="O9" s="12"/>
      <c r="P9" s="12"/>
      <c r="Q9" s="12"/>
      <c r="R9" s="12"/>
      <c r="S9" s="12"/>
      <c r="T9" s="12"/>
      <c r="U9" s="12"/>
      <c r="V9" s="12"/>
      <c r="W9" s="12">
        <f t="shared" si="2"/>
        <v>11983.5</v>
      </c>
    </row>
    <row r="10" spans="1:23" ht="14.25" customHeight="1">
      <c r="A10" s="84">
        <v>45170</v>
      </c>
      <c r="B10" s="84" t="str">
        <f t="shared" si="0"/>
        <v>Sep</v>
      </c>
      <c r="C10" s="1">
        <f t="shared" si="1"/>
        <v>2023</v>
      </c>
      <c r="D10" s="12">
        <v>3040</v>
      </c>
      <c r="E10" s="12">
        <v>829</v>
      </c>
      <c r="F10" s="12"/>
      <c r="G10" s="12"/>
      <c r="H10" s="12">
        <v>65</v>
      </c>
      <c r="I10" s="12">
        <v>6238.5</v>
      </c>
      <c r="J10" s="12"/>
      <c r="K10" s="12">
        <v>455.5</v>
      </c>
      <c r="L10" s="12">
        <v>35</v>
      </c>
      <c r="M10" s="12"/>
      <c r="N10" s="12">
        <v>299.5</v>
      </c>
      <c r="O10" s="12"/>
      <c r="P10" s="12"/>
      <c r="Q10" s="12">
        <v>946</v>
      </c>
      <c r="R10" s="12"/>
      <c r="S10" s="12"/>
      <c r="T10" s="12"/>
      <c r="U10" s="12">
        <v>68</v>
      </c>
      <c r="V10" s="12"/>
      <c r="W10" s="12">
        <f t="shared" si="2"/>
        <v>11976.5</v>
      </c>
    </row>
    <row r="11" spans="1:23" ht="14.25" customHeight="1">
      <c r="A11" s="84">
        <v>45200</v>
      </c>
      <c r="B11" s="84" t="str">
        <f t="shared" si="0"/>
        <v>Oct</v>
      </c>
      <c r="C11" s="1">
        <f t="shared" si="1"/>
        <v>2023</v>
      </c>
      <c r="D11" s="12">
        <v>2488.5</v>
      </c>
      <c r="E11" s="12">
        <v>1382.5</v>
      </c>
      <c r="F11" s="12">
        <v>276.5</v>
      </c>
      <c r="G11" s="1">
        <v>829.5</v>
      </c>
      <c r="H11" s="12">
        <v>315</v>
      </c>
      <c r="I11" s="12">
        <v>4042.5</v>
      </c>
      <c r="K11" s="12">
        <v>558</v>
      </c>
      <c r="L11" s="12">
        <v>258</v>
      </c>
      <c r="N11" s="12">
        <v>614.5</v>
      </c>
      <c r="O11" s="12">
        <v>640</v>
      </c>
      <c r="Q11" s="1">
        <v>215</v>
      </c>
      <c r="U11" s="12">
        <v>50</v>
      </c>
      <c r="W11" s="12">
        <f t="shared" si="2"/>
        <v>11670</v>
      </c>
    </row>
    <row r="12" spans="1:23" ht="14.25" customHeight="1">
      <c r="A12" s="84">
        <v>45231</v>
      </c>
      <c r="B12" s="84" t="str">
        <f t="shared" si="0"/>
        <v>Nov</v>
      </c>
      <c r="C12" s="1">
        <f t="shared" si="1"/>
        <v>2023</v>
      </c>
      <c r="D12" s="12">
        <v>2488.5</v>
      </c>
      <c r="F12" s="12">
        <v>829.5</v>
      </c>
      <c r="G12" s="1">
        <v>829.5</v>
      </c>
      <c r="H12" s="14">
        <v>120</v>
      </c>
      <c r="I12" s="12">
        <v>6908.5</v>
      </c>
      <c r="K12" s="12">
        <v>341</v>
      </c>
      <c r="L12" s="12">
        <v>337.5</v>
      </c>
      <c r="N12" s="12">
        <v>203</v>
      </c>
      <c r="Q12" s="1">
        <v>172</v>
      </c>
      <c r="U12" s="12">
        <v>75</v>
      </c>
      <c r="W12" s="12">
        <f t="shared" si="2"/>
        <v>12304.5</v>
      </c>
    </row>
    <row r="13" spans="1:23" ht="14.25" customHeight="1">
      <c r="A13" s="84">
        <v>45261</v>
      </c>
      <c r="B13" s="84" t="str">
        <f t="shared" si="0"/>
        <v>Dec</v>
      </c>
      <c r="C13" s="1">
        <f t="shared" si="1"/>
        <v>2023</v>
      </c>
      <c r="D13" s="12">
        <v>3041.5</v>
      </c>
      <c r="E13" s="12">
        <v>3593</v>
      </c>
      <c r="H13" s="12">
        <v>105</v>
      </c>
      <c r="I13" s="12">
        <v>5489</v>
      </c>
      <c r="K13" s="12">
        <v>403</v>
      </c>
      <c r="L13" s="12">
        <v>97</v>
      </c>
      <c r="N13" s="12">
        <v>284</v>
      </c>
      <c r="P13" s="1">
        <v>432</v>
      </c>
      <c r="Q13" s="1">
        <v>559</v>
      </c>
      <c r="U13" s="12">
        <v>120</v>
      </c>
      <c r="W13" s="12">
        <f t="shared" si="2"/>
        <v>14123.5</v>
      </c>
    </row>
    <row r="14" spans="1:23" ht="14.25" customHeight="1">
      <c r="A14" s="84">
        <v>45292</v>
      </c>
      <c r="B14" s="84" t="str">
        <f t="shared" si="0"/>
        <v>Jan</v>
      </c>
      <c r="C14" s="1">
        <f t="shared" si="1"/>
        <v>2024</v>
      </c>
      <c r="D14" s="12">
        <v>4700.5</v>
      </c>
      <c r="E14" s="12">
        <v>0</v>
      </c>
      <c r="F14" s="12">
        <v>553</v>
      </c>
      <c r="G14" s="12"/>
      <c r="H14" s="12">
        <v>95</v>
      </c>
      <c r="I14" s="12">
        <v>6265.5</v>
      </c>
      <c r="J14" s="12"/>
      <c r="K14" s="12">
        <v>140</v>
      </c>
      <c r="L14" s="12">
        <v>566</v>
      </c>
      <c r="N14" s="12">
        <v>495</v>
      </c>
      <c r="O14" s="12"/>
      <c r="P14" s="12"/>
      <c r="Q14" s="12"/>
      <c r="R14" s="12"/>
      <c r="S14" s="12"/>
      <c r="T14" s="12"/>
      <c r="U14" s="12"/>
      <c r="W14" s="12">
        <f t="shared" si="2"/>
        <v>12815</v>
      </c>
    </row>
    <row r="15" spans="1:23" ht="14.25" customHeight="1">
      <c r="A15" s="84">
        <v>45323</v>
      </c>
      <c r="B15" s="84" t="str">
        <f t="shared" si="0"/>
        <v>Feb</v>
      </c>
      <c r="C15" s="1">
        <f t="shared" si="1"/>
        <v>2024</v>
      </c>
      <c r="D15" s="12">
        <v>3041.5</v>
      </c>
      <c r="E15" s="12"/>
      <c r="F15" s="12">
        <v>1106</v>
      </c>
      <c r="G15" s="12"/>
      <c r="H15" s="12"/>
      <c r="I15" s="12">
        <v>6405</v>
      </c>
      <c r="J15" s="12"/>
      <c r="K15" s="12">
        <v>463</v>
      </c>
      <c r="L15" s="12">
        <v>631</v>
      </c>
      <c r="N15" s="12"/>
      <c r="O15" s="12"/>
      <c r="P15" s="12"/>
      <c r="Q15" s="12"/>
      <c r="R15" s="12"/>
      <c r="S15" s="12"/>
      <c r="T15" s="12"/>
      <c r="U15" s="12">
        <v>124</v>
      </c>
      <c r="W15" s="12">
        <f t="shared" si="2"/>
        <v>11770.5</v>
      </c>
    </row>
    <row r="16" spans="1:23" ht="14.25" customHeight="1">
      <c r="A16" s="84">
        <v>45352</v>
      </c>
      <c r="B16" s="84" t="str">
        <f t="shared" si="0"/>
        <v>Mar</v>
      </c>
      <c r="C16" s="1">
        <f t="shared" si="1"/>
        <v>2024</v>
      </c>
      <c r="D16" s="12">
        <v>3038.5</v>
      </c>
      <c r="E16" s="12">
        <v>3016.5</v>
      </c>
      <c r="F16" s="12"/>
      <c r="G16" s="12"/>
      <c r="H16" s="12">
        <v>340</v>
      </c>
      <c r="I16" s="12">
        <v>5414.5</v>
      </c>
      <c r="J16" s="12"/>
      <c r="K16" s="12">
        <v>376</v>
      </c>
      <c r="L16" s="12">
        <v>601</v>
      </c>
      <c r="M16" s="12"/>
      <c r="N16" s="12">
        <v>427</v>
      </c>
      <c r="O16" s="12"/>
      <c r="P16" s="12"/>
      <c r="Q16" s="12"/>
      <c r="R16" s="12"/>
      <c r="S16" s="12"/>
      <c r="T16" s="12"/>
      <c r="U16" s="12">
        <v>84</v>
      </c>
      <c r="W16" s="12">
        <f t="shared" si="2"/>
        <v>13297.5</v>
      </c>
    </row>
    <row r="17" spans="1:23" ht="14.25" customHeight="1">
      <c r="A17" s="84">
        <v>45383</v>
      </c>
      <c r="B17" s="84" t="str">
        <f t="shared" si="0"/>
        <v>Apr</v>
      </c>
      <c r="C17" s="1">
        <f t="shared" si="1"/>
        <v>2024</v>
      </c>
      <c r="D17" s="12">
        <v>4700.5</v>
      </c>
      <c r="E17" s="12">
        <v>3041.5</v>
      </c>
      <c r="F17" s="12">
        <v>2488.5</v>
      </c>
      <c r="G17" s="12"/>
      <c r="H17" s="12">
        <v>115</v>
      </c>
      <c r="I17" s="12">
        <v>3939</v>
      </c>
      <c r="J17" s="12"/>
      <c r="K17" s="12">
        <v>375</v>
      </c>
      <c r="L17" s="12">
        <v>337.5</v>
      </c>
      <c r="N17" s="12">
        <v>425.5</v>
      </c>
      <c r="O17" s="12"/>
      <c r="P17" s="12"/>
      <c r="Q17" s="12"/>
      <c r="R17" s="12"/>
      <c r="S17" s="12"/>
      <c r="T17" s="12"/>
      <c r="U17" s="12">
        <v>80</v>
      </c>
      <c r="W17" s="12">
        <f t="shared" si="2"/>
        <v>15502.5</v>
      </c>
    </row>
    <row r="18" spans="1:23" ht="14.25" customHeight="1">
      <c r="A18" s="84">
        <v>45413</v>
      </c>
      <c r="B18" s="84" t="str">
        <f t="shared" si="0"/>
        <v>May</v>
      </c>
      <c r="C18" s="1">
        <f t="shared" si="1"/>
        <v>2024</v>
      </c>
      <c r="D18" s="12">
        <v>3871</v>
      </c>
      <c r="E18" s="12"/>
      <c r="F18" s="12"/>
      <c r="G18" s="12"/>
      <c r="H18" s="12">
        <v>195</v>
      </c>
      <c r="I18" s="12">
        <v>4337.5</v>
      </c>
      <c r="J18" s="12"/>
      <c r="K18" s="12">
        <v>159.5</v>
      </c>
      <c r="L18" s="12">
        <v>521.5</v>
      </c>
      <c r="M18" s="12">
        <v>77.5</v>
      </c>
      <c r="N18" s="12">
        <v>586.5</v>
      </c>
      <c r="O18" s="12"/>
      <c r="P18" s="12"/>
      <c r="Q18" s="12"/>
      <c r="R18" s="12"/>
      <c r="S18" s="12"/>
      <c r="T18" s="12"/>
      <c r="U18" s="12">
        <v>355</v>
      </c>
      <c r="W18" s="12">
        <f t="shared" si="2"/>
        <v>10103.5</v>
      </c>
    </row>
    <row r="19" spans="1:23" ht="14.25" customHeight="1">
      <c r="A19" s="84">
        <v>45444</v>
      </c>
      <c r="B19" s="84" t="str">
        <f t="shared" si="0"/>
        <v>Jun</v>
      </c>
      <c r="C19" s="1">
        <f t="shared" si="1"/>
        <v>2024</v>
      </c>
      <c r="D19" s="12">
        <v>4147.5</v>
      </c>
      <c r="E19" s="12">
        <v>3318</v>
      </c>
      <c r="F19" s="12">
        <v>1935.5</v>
      </c>
      <c r="G19" s="12"/>
      <c r="H19" s="12">
        <v>330</v>
      </c>
      <c r="I19" s="12">
        <v>5022</v>
      </c>
      <c r="J19" s="12"/>
      <c r="K19" s="12">
        <v>361.5</v>
      </c>
      <c r="L19" s="12">
        <v>177</v>
      </c>
      <c r="M19" s="12">
        <v>292</v>
      </c>
      <c r="N19" s="12">
        <v>459.5</v>
      </c>
      <c r="O19" s="12"/>
      <c r="P19" s="12"/>
      <c r="Q19" s="12"/>
      <c r="R19" s="12"/>
      <c r="S19" s="12"/>
      <c r="T19" s="12"/>
      <c r="U19" s="12">
        <v>40</v>
      </c>
      <c r="W19" s="12">
        <f t="shared" si="2"/>
        <v>16083</v>
      </c>
    </row>
    <row r="20" spans="1:23" ht="14.25" customHeight="1">
      <c r="A20" s="84">
        <v>45474</v>
      </c>
      <c r="B20" s="84" t="str">
        <f t="shared" si="0"/>
        <v>Jul</v>
      </c>
      <c r="C20" s="1">
        <f t="shared" si="1"/>
        <v>2024</v>
      </c>
      <c r="D20" s="12">
        <v>2488.5</v>
      </c>
      <c r="E20" s="12">
        <v>275</v>
      </c>
      <c r="F20" s="12">
        <v>829.5</v>
      </c>
      <c r="G20" s="12"/>
      <c r="H20" s="12">
        <v>200</v>
      </c>
      <c r="I20" s="12">
        <v>4500</v>
      </c>
      <c r="J20" s="12"/>
      <c r="K20" s="12">
        <v>-70</v>
      </c>
      <c r="L20" s="12">
        <v>309</v>
      </c>
      <c r="M20" s="12">
        <v>241</v>
      </c>
      <c r="N20" s="12">
        <v>718.5</v>
      </c>
      <c r="O20" s="12"/>
      <c r="P20" s="12"/>
      <c r="Q20" s="12"/>
      <c r="R20" s="12"/>
      <c r="S20" s="12"/>
      <c r="T20" s="12"/>
      <c r="U20" s="12">
        <v>50</v>
      </c>
      <c r="W20" s="12">
        <f t="shared" si="2"/>
        <v>9541.5</v>
      </c>
    </row>
    <row r="21" spans="1:23" ht="14.25" customHeight="1">
      <c r="A21" s="84">
        <v>45505</v>
      </c>
      <c r="B21" s="84" t="str">
        <f t="shared" si="0"/>
        <v>Aug</v>
      </c>
      <c r="C21" s="1">
        <f t="shared" si="1"/>
        <v>2024</v>
      </c>
      <c r="D21" s="12">
        <v>3041.5</v>
      </c>
      <c r="E21" s="12">
        <v>3318</v>
      </c>
      <c r="F21" s="12">
        <v>553</v>
      </c>
      <c r="G21" s="12">
        <v>4143</v>
      </c>
      <c r="H21" s="12">
        <v>165</v>
      </c>
      <c r="I21" s="12">
        <v>4604.5</v>
      </c>
      <c r="J21" s="12"/>
      <c r="K21" s="12">
        <v>354</v>
      </c>
      <c r="L21" s="12">
        <v>93</v>
      </c>
      <c r="M21" s="12">
        <v>57.5</v>
      </c>
      <c r="N21" s="12">
        <v>397.5</v>
      </c>
      <c r="O21" s="12"/>
      <c r="P21" s="12"/>
      <c r="Q21" s="12"/>
      <c r="R21" s="12"/>
      <c r="S21" s="12"/>
      <c r="T21" s="12"/>
      <c r="U21" s="12"/>
      <c r="W21" s="12">
        <f t="shared" si="2"/>
        <v>16727</v>
      </c>
    </row>
    <row r="22" spans="1:23" ht="14.25" customHeight="1">
      <c r="A22" s="84">
        <v>45536</v>
      </c>
      <c r="B22" s="84" t="str">
        <f t="shared" si="0"/>
        <v>Sep</v>
      </c>
      <c r="C22" s="1">
        <f t="shared" si="1"/>
        <v>2024</v>
      </c>
      <c r="D22" s="12">
        <v>1659</v>
      </c>
      <c r="E22" s="12">
        <v>275</v>
      </c>
      <c r="F22" s="12">
        <v>2763.5</v>
      </c>
      <c r="G22" s="12"/>
      <c r="H22" s="12">
        <v>300</v>
      </c>
      <c r="I22" s="12">
        <v>3372.5</v>
      </c>
      <c r="J22" s="12"/>
      <c r="K22" s="12">
        <v>766.5</v>
      </c>
      <c r="L22" s="12">
        <v>205</v>
      </c>
      <c r="M22" s="12">
        <v>370</v>
      </c>
      <c r="N22" s="12">
        <v>479</v>
      </c>
      <c r="O22" s="12"/>
      <c r="P22" s="12"/>
      <c r="Q22" s="12"/>
      <c r="R22" s="12"/>
      <c r="S22" s="12"/>
      <c r="T22" s="12"/>
      <c r="U22" s="12"/>
      <c r="W22" s="12">
        <f t="shared" si="2"/>
        <v>10190.5</v>
      </c>
    </row>
    <row r="23" spans="1:23" ht="14.25" customHeight="1">
      <c r="A23" s="84">
        <v>45566</v>
      </c>
      <c r="B23" s="84" t="str">
        <f t="shared" si="0"/>
        <v>Oct</v>
      </c>
      <c r="C23" s="1">
        <f t="shared" si="1"/>
        <v>2024</v>
      </c>
      <c r="D23" s="12"/>
      <c r="E23" s="12"/>
      <c r="F23" s="12"/>
      <c r="G23" s="12"/>
      <c r="H23" s="12">
        <v>135</v>
      </c>
      <c r="I23" s="12">
        <v>2611</v>
      </c>
      <c r="J23" s="12"/>
      <c r="K23" s="12">
        <v>140</v>
      </c>
      <c r="L23" s="12">
        <v>224.5</v>
      </c>
      <c r="M23" s="12">
        <v>31</v>
      </c>
      <c r="N23" s="12">
        <v>291</v>
      </c>
      <c r="O23" s="12">
        <v>310</v>
      </c>
      <c r="P23" s="12"/>
      <c r="Q23" s="12"/>
      <c r="R23" s="12"/>
      <c r="S23" s="12"/>
      <c r="T23" s="12"/>
      <c r="U23" s="12"/>
      <c r="W23" s="12">
        <f t="shared" si="2"/>
        <v>3742.5</v>
      </c>
    </row>
    <row r="24" spans="1:23" ht="14.25" customHeight="1">
      <c r="A24" s="84">
        <v>45597</v>
      </c>
      <c r="B24" s="84" t="str">
        <f t="shared" si="0"/>
        <v>Nov</v>
      </c>
      <c r="C24" s="1">
        <f t="shared" si="1"/>
        <v>2024</v>
      </c>
      <c r="D24" s="12">
        <v>2765</v>
      </c>
      <c r="E24" s="12"/>
      <c r="F24" s="12"/>
      <c r="G24" s="12">
        <v>3318</v>
      </c>
      <c r="H24" s="12"/>
      <c r="I24" s="12">
        <v>3449.5</v>
      </c>
      <c r="J24" s="12"/>
      <c r="K24" s="12">
        <v>209</v>
      </c>
      <c r="M24" s="12">
        <v>360.5</v>
      </c>
      <c r="N24" s="12">
        <v>485</v>
      </c>
      <c r="O24" s="12"/>
      <c r="P24" s="12"/>
      <c r="Q24" s="12"/>
      <c r="R24" s="12"/>
      <c r="S24" s="12"/>
      <c r="T24" s="12"/>
      <c r="U24" s="12">
        <v>40</v>
      </c>
      <c r="W24" s="12">
        <f t="shared" si="2"/>
        <v>10627</v>
      </c>
    </row>
    <row r="25" spans="1:23" ht="14.25" customHeight="1">
      <c r="A25" s="84">
        <v>45627</v>
      </c>
      <c r="B25" s="84" t="str">
        <f t="shared" si="0"/>
        <v>Dec</v>
      </c>
      <c r="C25" s="1">
        <f t="shared" si="1"/>
        <v>2024</v>
      </c>
      <c r="D25" s="12">
        <v>3191.5</v>
      </c>
      <c r="E25" s="12">
        <v>2765</v>
      </c>
      <c r="F25" s="12">
        <v>1659</v>
      </c>
      <c r="G25" s="12">
        <v>275</v>
      </c>
      <c r="H25" s="12"/>
      <c r="I25" s="12">
        <v>4777.5</v>
      </c>
      <c r="J25" s="12"/>
      <c r="K25" s="12">
        <v>207</v>
      </c>
      <c r="L25" s="12">
        <v>76</v>
      </c>
      <c r="M25" s="12">
        <v>337</v>
      </c>
      <c r="N25" s="12">
        <v>341.5</v>
      </c>
      <c r="O25" s="12"/>
      <c r="P25" s="12"/>
      <c r="Q25" s="12"/>
      <c r="R25" s="12"/>
      <c r="S25" s="12"/>
      <c r="T25" s="12"/>
      <c r="U25" s="12">
        <v>540</v>
      </c>
      <c r="W25" s="12">
        <f t="shared" si="2"/>
        <v>14169.5</v>
      </c>
    </row>
    <row r="26" spans="1:23" ht="14.25" customHeight="1">
      <c r="A26" s="84">
        <v>45658</v>
      </c>
      <c r="B26" s="84" t="str">
        <f t="shared" si="0"/>
        <v>Jan</v>
      </c>
      <c r="C26" s="1">
        <f t="shared" si="1"/>
        <v>2025</v>
      </c>
      <c r="D26" s="12">
        <v>3040</v>
      </c>
      <c r="E26" s="12">
        <v>-276.5</v>
      </c>
      <c r="F26" s="12">
        <v>0</v>
      </c>
      <c r="G26" s="12"/>
      <c r="H26" s="12"/>
      <c r="I26" s="12">
        <v>6464</v>
      </c>
      <c r="J26" s="12"/>
      <c r="K26" s="12">
        <v>857.5</v>
      </c>
      <c r="L26" s="12">
        <v>342</v>
      </c>
      <c r="M26" s="12">
        <v>124</v>
      </c>
      <c r="N26" s="12">
        <v>544.5</v>
      </c>
      <c r="O26" s="12"/>
      <c r="P26" s="12"/>
      <c r="Q26" s="12"/>
      <c r="R26" s="12"/>
      <c r="S26" s="12"/>
      <c r="T26" s="12"/>
      <c r="U26" s="12">
        <v>4</v>
      </c>
      <c r="W26" s="12">
        <f t="shared" si="2"/>
        <v>11099.5</v>
      </c>
    </row>
    <row r="27" spans="1:23" ht="14.25" customHeight="1">
      <c r="A27" s="84">
        <v>45689</v>
      </c>
      <c r="B27" s="84" t="str">
        <f t="shared" si="0"/>
        <v>Feb</v>
      </c>
      <c r="C27" s="1">
        <f t="shared" si="1"/>
        <v>2025</v>
      </c>
      <c r="D27" s="12">
        <v>3871</v>
      </c>
      <c r="E27" s="12"/>
      <c r="F27" s="12"/>
      <c r="G27" s="12"/>
      <c r="H27" s="12">
        <v>355</v>
      </c>
      <c r="I27" s="12">
        <v>3966.5</v>
      </c>
      <c r="J27" s="12"/>
      <c r="K27" s="12">
        <v>331.5</v>
      </c>
      <c r="L27" s="12">
        <v>344</v>
      </c>
      <c r="M27" s="12">
        <v>217</v>
      </c>
      <c r="N27" s="12">
        <v>377</v>
      </c>
      <c r="O27" s="12"/>
      <c r="P27" s="12"/>
      <c r="Q27" s="12"/>
      <c r="R27" s="12"/>
      <c r="S27" s="12"/>
      <c r="T27" s="12"/>
      <c r="U27" s="12"/>
      <c r="W27" s="12">
        <f t="shared" si="2"/>
        <v>9462</v>
      </c>
    </row>
    <row r="28" spans="1:23" ht="14.25" customHeight="1">
      <c r="A28" s="84">
        <v>45717</v>
      </c>
      <c r="B28" s="84" t="str">
        <f t="shared" si="0"/>
        <v>Mar</v>
      </c>
      <c r="C28" s="1">
        <f t="shared" si="1"/>
        <v>2025</v>
      </c>
      <c r="D28" s="12">
        <v>1659</v>
      </c>
      <c r="E28" s="12">
        <v>1659</v>
      </c>
      <c r="F28" s="12">
        <v>3041.5</v>
      </c>
      <c r="G28" s="12"/>
      <c r="H28" s="12">
        <v>320</v>
      </c>
      <c r="I28" s="12">
        <v>3948.5</v>
      </c>
      <c r="J28" s="12"/>
      <c r="K28" s="12">
        <v>294.5</v>
      </c>
      <c r="L28" s="12">
        <v>180</v>
      </c>
      <c r="M28" s="12">
        <v>379</v>
      </c>
      <c r="N28" s="12">
        <v>437.5</v>
      </c>
      <c r="O28" s="12"/>
      <c r="P28" s="12"/>
      <c r="Q28" s="12"/>
      <c r="R28" s="12"/>
      <c r="S28" s="12"/>
      <c r="T28" s="12"/>
      <c r="U28" s="12">
        <v>5</v>
      </c>
      <c r="W28" s="12">
        <f t="shared" si="2"/>
        <v>11924</v>
      </c>
    </row>
    <row r="29" spans="1:23" ht="14.25" customHeight="1">
      <c r="A29" s="84">
        <v>45748</v>
      </c>
      <c r="B29" s="84" t="str">
        <f t="shared" si="0"/>
        <v>Apr</v>
      </c>
      <c r="C29" s="1">
        <f t="shared" si="1"/>
        <v>2025</v>
      </c>
      <c r="D29" s="12">
        <v>1106</v>
      </c>
      <c r="E29" s="12">
        <v>-829.5</v>
      </c>
      <c r="F29" s="12">
        <v>275</v>
      </c>
      <c r="G29" s="12"/>
      <c r="H29" s="12">
        <v>190</v>
      </c>
      <c r="I29" s="12">
        <v>3198</v>
      </c>
      <c r="J29" s="12"/>
      <c r="K29" s="12">
        <v>374.5</v>
      </c>
      <c r="L29" s="12">
        <v>259.5</v>
      </c>
      <c r="M29" s="12"/>
      <c r="N29" s="12">
        <v>519.5</v>
      </c>
      <c r="O29" s="12"/>
      <c r="P29" s="12"/>
      <c r="Q29" s="12"/>
      <c r="R29" s="12"/>
      <c r="S29" s="12"/>
      <c r="T29" s="12"/>
      <c r="U29" s="12"/>
      <c r="W29" s="12">
        <f t="shared" si="2"/>
        <v>5093</v>
      </c>
    </row>
    <row r="30" spans="1:23" ht="14.25" customHeight="1">
      <c r="A30" s="84">
        <v>45778</v>
      </c>
      <c r="B30" s="84" t="str">
        <f t="shared" si="0"/>
        <v>May</v>
      </c>
      <c r="C30" s="1">
        <f t="shared" si="1"/>
        <v>2025</v>
      </c>
      <c r="D30" s="12">
        <v>3594.5</v>
      </c>
      <c r="E30" s="12">
        <v>276.5</v>
      </c>
      <c r="F30" s="12"/>
      <c r="G30" s="12"/>
      <c r="H30" s="12"/>
      <c r="I30" s="12">
        <v>3765.5</v>
      </c>
      <c r="J30" s="12"/>
      <c r="K30" s="12">
        <v>144</v>
      </c>
      <c r="L30" s="12">
        <v>254.5</v>
      </c>
      <c r="M30" s="12"/>
      <c r="N30" s="12">
        <v>473</v>
      </c>
      <c r="O30" s="12"/>
      <c r="P30" s="12"/>
      <c r="Q30" s="12"/>
      <c r="R30" s="12"/>
      <c r="S30" s="12"/>
      <c r="T30" s="12"/>
      <c r="U30" s="12">
        <v>21.5</v>
      </c>
      <c r="V30" s="12"/>
      <c r="W30" s="12">
        <f t="shared" si="2"/>
        <v>8529.5</v>
      </c>
    </row>
    <row r="31" spans="1:23" ht="14.25" customHeight="1">
      <c r="A31" s="84">
        <v>45809</v>
      </c>
      <c r="B31" s="84" t="str">
        <f t="shared" si="0"/>
        <v>Jun</v>
      </c>
      <c r="C31" s="1">
        <f t="shared" si="1"/>
        <v>2025</v>
      </c>
      <c r="D31" s="12">
        <v>1659</v>
      </c>
      <c r="E31" s="12">
        <v>1935.5</v>
      </c>
      <c r="F31" s="12"/>
      <c r="G31" s="12"/>
      <c r="H31" s="12">
        <v>210</v>
      </c>
      <c r="I31" s="12">
        <v>3761.5</v>
      </c>
      <c r="J31" s="12"/>
      <c r="K31" s="12">
        <v>484.5</v>
      </c>
      <c r="L31" s="12">
        <v>269.5</v>
      </c>
      <c r="M31" s="12">
        <v>393</v>
      </c>
      <c r="N31" s="12">
        <v>415.5</v>
      </c>
      <c r="O31" s="12"/>
      <c r="P31" s="12"/>
      <c r="Q31" s="12"/>
      <c r="R31" s="12"/>
      <c r="S31" s="12"/>
      <c r="T31" s="12"/>
      <c r="U31" s="12"/>
      <c r="V31" s="12">
        <v>2</v>
      </c>
      <c r="W31" s="12">
        <f t="shared" si="2"/>
        <v>9130.5</v>
      </c>
    </row>
    <row r="32" spans="1:23" ht="14.25" customHeight="1">
      <c r="A32" s="84">
        <v>45839</v>
      </c>
      <c r="B32" s="84" t="str">
        <f t="shared" si="0"/>
        <v>Jul</v>
      </c>
      <c r="C32" s="1">
        <f t="shared" si="1"/>
        <v>2025</v>
      </c>
      <c r="D32" s="12">
        <v>4147.5</v>
      </c>
      <c r="E32" s="12">
        <v>2212</v>
      </c>
      <c r="F32" s="12">
        <v>276.5</v>
      </c>
      <c r="G32" s="12">
        <v>3041.5</v>
      </c>
      <c r="H32" s="12">
        <v>75</v>
      </c>
      <c r="I32" s="12">
        <v>2845</v>
      </c>
      <c r="J32" s="12">
        <v>2117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>
        <v>4</v>
      </c>
      <c r="W32" s="12">
        <f t="shared" si="2"/>
        <v>14718.5</v>
      </c>
    </row>
    <row r="33" spans="1:23" ht="14.25" customHeight="1">
      <c r="A33" s="84">
        <v>45870</v>
      </c>
      <c r="B33" s="84" t="str">
        <f t="shared" si="0"/>
        <v>Aug</v>
      </c>
      <c r="C33" s="1">
        <f t="shared" si="1"/>
        <v>2025</v>
      </c>
      <c r="D33" s="12">
        <v>3594.5</v>
      </c>
      <c r="E33" s="12">
        <v>551.5</v>
      </c>
      <c r="F33" s="12">
        <v>276.5</v>
      </c>
      <c r="G33" s="12"/>
      <c r="H33" s="12">
        <v>135</v>
      </c>
      <c r="I33" s="12">
        <v>7514.5</v>
      </c>
      <c r="J33" s="12"/>
      <c r="K33" s="12"/>
      <c r="L33" s="12"/>
      <c r="M33" s="12"/>
      <c r="N33" s="12">
        <v>445</v>
      </c>
      <c r="O33" s="12"/>
      <c r="P33" s="12"/>
      <c r="Q33" s="12"/>
      <c r="R33" s="12"/>
      <c r="S33" s="12"/>
      <c r="T33" s="12"/>
      <c r="U33" s="12"/>
      <c r="V33" s="12"/>
      <c r="W33" s="12">
        <f t="shared" si="2"/>
        <v>12517</v>
      </c>
    </row>
    <row r="34" spans="1:23" ht="14.25" customHeight="1">
      <c r="A34" s="84">
        <v>45901</v>
      </c>
      <c r="B34" s="84" t="str">
        <f t="shared" si="0"/>
        <v>Sep</v>
      </c>
      <c r="C34" s="1">
        <f t="shared" si="1"/>
        <v>2025</v>
      </c>
      <c r="D34" s="12">
        <v>3593</v>
      </c>
      <c r="E34" s="12">
        <v>2488.5</v>
      </c>
      <c r="F34" s="12">
        <v>828</v>
      </c>
      <c r="G34" s="12"/>
      <c r="H34" s="12">
        <v>165</v>
      </c>
      <c r="I34" s="12">
        <v>6315</v>
      </c>
      <c r="J34" s="12"/>
      <c r="K34" s="12"/>
      <c r="L34" s="12"/>
      <c r="M34" s="12"/>
      <c r="N34" s="12">
        <v>658</v>
      </c>
      <c r="O34" s="12"/>
      <c r="P34" s="12"/>
      <c r="Q34" s="12"/>
      <c r="R34" s="12"/>
      <c r="S34" s="12"/>
      <c r="T34" s="12"/>
      <c r="U34" s="12"/>
      <c r="V34" s="12"/>
      <c r="W34" s="12">
        <f t="shared" si="2"/>
        <v>14047.5</v>
      </c>
    </row>
    <row r="35" spans="1:23" ht="14.25" customHeight="1">
      <c r="A35" s="84">
        <v>45931</v>
      </c>
      <c r="B35" s="84" t="str">
        <f t="shared" si="0"/>
        <v>Oct</v>
      </c>
      <c r="C35" s="1">
        <f t="shared" si="1"/>
        <v>2025</v>
      </c>
      <c r="D35" s="12">
        <v>3038.5</v>
      </c>
      <c r="E35" s="12"/>
      <c r="F35" s="12">
        <v>1659</v>
      </c>
      <c r="G35" s="12"/>
      <c r="H35" s="12">
        <v>495</v>
      </c>
      <c r="I35" s="12">
        <v>4188.5</v>
      </c>
      <c r="J35" s="12"/>
      <c r="K35" s="12"/>
      <c r="L35" s="12"/>
      <c r="M35" s="12"/>
      <c r="N35" s="12">
        <v>329.5</v>
      </c>
      <c r="O35" s="12"/>
      <c r="P35" s="12"/>
      <c r="Q35" s="12"/>
      <c r="R35" s="12"/>
      <c r="S35" s="12"/>
      <c r="T35" s="12"/>
      <c r="U35" s="12"/>
      <c r="V35" s="12"/>
      <c r="W35" s="12">
        <f t="shared" si="2"/>
        <v>9710.5</v>
      </c>
    </row>
    <row r="36" spans="1:23" ht="14.25" customHeight="1">
      <c r="A36" s="84">
        <v>45962</v>
      </c>
      <c r="B36" s="84" t="str">
        <f t="shared" si="0"/>
        <v>Nov</v>
      </c>
      <c r="C36" s="1">
        <f t="shared" si="1"/>
        <v>2025</v>
      </c>
    </row>
    <row r="37" spans="1:23" ht="14.25" customHeight="1">
      <c r="A37" s="84">
        <v>45992</v>
      </c>
      <c r="B37" s="84" t="str">
        <f t="shared" si="0"/>
        <v>Dec</v>
      </c>
      <c r="C37" s="1">
        <f t="shared" si="1"/>
        <v>2025</v>
      </c>
    </row>
    <row r="38" spans="1:23" ht="14.25" customHeight="1">
      <c r="A38" s="84"/>
      <c r="B38" s="84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1:23" ht="14.25" customHeight="1"/>
    <row r="40" spans="1:23" ht="14.25" customHeight="1"/>
    <row r="41" spans="1:23" ht="14.25" customHeight="1"/>
    <row r="42" spans="1:23" ht="14.25" customHeight="1"/>
    <row r="43" spans="1:23" ht="14.25" customHeight="1"/>
    <row r="44" spans="1:23" ht="14.25" customHeight="1"/>
    <row r="45" spans="1:23" ht="14.25" customHeight="1"/>
    <row r="46" spans="1:23" ht="14.25" customHeight="1"/>
    <row r="47" spans="1:23" ht="14.25" customHeight="1"/>
    <row r="48" spans="1:2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spans="4:23" ht="14.25" customHeight="1"/>
    <row r="66" spans="4:23" ht="14.25" customHeight="1"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 spans="4:23" ht="14.25" customHeight="1"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 spans="4:23" ht="14.25" customHeight="1"/>
    <row r="69" spans="4:23" ht="14.25" customHeight="1"/>
    <row r="70" spans="4:23" ht="14.25" customHeight="1"/>
    <row r="71" spans="4:23" ht="14.25" customHeight="1"/>
    <row r="72" spans="4:23" ht="14.25" customHeight="1"/>
    <row r="73" spans="4:23" ht="14.25" customHeight="1"/>
    <row r="74" spans="4:23" ht="14.25" customHeight="1"/>
    <row r="75" spans="4:23" ht="14.25" customHeight="1"/>
    <row r="76" spans="4:23" ht="14.25" customHeight="1"/>
    <row r="77" spans="4:23" ht="14.25" customHeight="1"/>
    <row r="78" spans="4:23" ht="14.25" customHeight="1"/>
    <row r="79" spans="4:23" ht="14.25" customHeight="1"/>
    <row r="80" spans="4:23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Classes Charts</vt:lpstr>
      <vt:lpstr>Classes Chart Data</vt:lpstr>
      <vt:lpstr>Sheet2</vt:lpstr>
      <vt:lpstr>Classes Data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2025-11-10T23:24:41Z</dcterms:created>
  <dcterms:modified xsi:type="dcterms:W3CDTF">2026-02-06T04:42:39Z</dcterms:modified>
</cp:coreProperties>
</file>